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odule5\2015\"/>
    </mc:Choice>
  </mc:AlternateContent>
  <bookViews>
    <workbookView xWindow="2250" yWindow="630" windowWidth="14715" windowHeight="8190"/>
  </bookViews>
  <sheets>
    <sheet name="Folha1" sheetId="1" r:id="rId1"/>
  </sheets>
  <calcPr calcId="152511"/>
</workbook>
</file>

<file path=xl/calcChain.xml><?xml version="1.0" encoding="utf-8"?>
<calcChain xmlns="http://schemas.openxmlformats.org/spreadsheetml/2006/main">
  <c r="C18" i="1" l="1"/>
  <c r="B18" i="1" s="1"/>
  <c r="C19" i="1"/>
  <c r="A19" i="1" s="1"/>
  <c r="C20" i="1"/>
  <c r="A20" i="1" s="1"/>
  <c r="C24" i="1"/>
  <c r="C25" i="1"/>
  <c r="C26" i="1"/>
  <c r="C27" i="1"/>
  <c r="C28" i="1"/>
  <c r="C29" i="1"/>
  <c r="C30" i="1"/>
  <c r="C31" i="1"/>
  <c r="C32" i="1"/>
  <c r="C33" i="1"/>
  <c r="D19" i="1" l="1"/>
  <c r="B20" i="1"/>
  <c r="D18" i="1"/>
</calcChain>
</file>

<file path=xl/sharedStrings.xml><?xml version="1.0" encoding="utf-8"?>
<sst xmlns="http://schemas.openxmlformats.org/spreadsheetml/2006/main" count="70" uniqueCount="70">
  <si>
    <t>SO4</t>
  </si>
  <si>
    <t>NO3</t>
  </si>
  <si>
    <t>Cl</t>
  </si>
  <si>
    <t>HCO3</t>
  </si>
  <si>
    <t>Na</t>
  </si>
  <si>
    <t>K</t>
  </si>
  <si>
    <t>Ca</t>
  </si>
  <si>
    <t>Mg</t>
  </si>
  <si>
    <t>NH4</t>
  </si>
  <si>
    <t>Mn</t>
  </si>
  <si>
    <t>Br</t>
  </si>
  <si>
    <t>Silica</t>
  </si>
  <si>
    <t>Si</t>
  </si>
  <si>
    <t>Water</t>
  </si>
  <si>
    <t>ºF</t>
  </si>
  <si>
    <t>ºG</t>
  </si>
  <si>
    <t>mg/l CaCO3</t>
  </si>
  <si>
    <t>mmol/l (Ca+Mg)</t>
  </si>
  <si>
    <t>Pb</t>
  </si>
  <si>
    <t>Sodium</t>
  </si>
  <si>
    <t>Potassium</t>
  </si>
  <si>
    <t>Calcium</t>
  </si>
  <si>
    <t>Magnesium</t>
  </si>
  <si>
    <t>Chloride</t>
  </si>
  <si>
    <t>Bicarbonate</t>
  </si>
  <si>
    <t>Nitrate</t>
  </si>
  <si>
    <t>Silicon</t>
  </si>
  <si>
    <t>Ferrous iron</t>
  </si>
  <si>
    <t>Ferric iron</t>
  </si>
  <si>
    <t>Aluminium</t>
  </si>
  <si>
    <t>Ammonium</t>
  </si>
  <si>
    <t>Zinc</t>
  </si>
  <si>
    <t>Phosphate</t>
  </si>
  <si>
    <t>Nitrite</t>
  </si>
  <si>
    <t>Carbonate</t>
  </si>
  <si>
    <t>Fluoride</t>
  </si>
  <si>
    <t>Bromide</t>
  </si>
  <si>
    <t>Strontium</t>
  </si>
  <si>
    <t>Lead</t>
  </si>
  <si>
    <t>Manganese</t>
  </si>
  <si>
    <t>Calcite</t>
  </si>
  <si>
    <t>Atomic and molecular weights (g/mol)</t>
  </si>
  <si>
    <t>Av. Seaw. Comp. (mmol/l)</t>
  </si>
  <si>
    <t>Sulphate</t>
  </si>
  <si>
    <t>Copper</t>
  </si>
  <si>
    <t>Seawater 
Cl ratios</t>
  </si>
  <si>
    <t>Hardness</t>
  </si>
  <si>
    <r>
      <t>Ca</t>
    </r>
    <r>
      <rPr>
        <vertAlign val="superscript"/>
        <sz val="9"/>
        <rFont val="Arial"/>
        <family val="2"/>
      </rPr>
      <t>2+</t>
    </r>
  </si>
  <si>
    <r>
      <t>SO</t>
    </r>
    <r>
      <rPr>
        <vertAlign val="subscript"/>
        <sz val="9"/>
        <rFont val="Arial"/>
        <family val="2"/>
      </rPr>
      <t>4</t>
    </r>
    <r>
      <rPr>
        <vertAlign val="superscript"/>
        <sz val="9"/>
        <rFont val="Arial"/>
        <family val="2"/>
      </rPr>
      <t>2-</t>
    </r>
  </si>
  <si>
    <r>
      <t>HCO</t>
    </r>
    <r>
      <rPr>
        <vertAlign val="subscript"/>
        <sz val="9"/>
        <rFont val="Arial"/>
        <family val="2"/>
      </rPr>
      <t>3</t>
    </r>
    <r>
      <rPr>
        <vertAlign val="superscript"/>
        <sz val="9"/>
        <rFont val="Arial"/>
        <family val="2"/>
      </rPr>
      <t>-</t>
    </r>
  </si>
  <si>
    <r>
      <t>NO</t>
    </r>
    <r>
      <rPr>
        <vertAlign val="subscript"/>
        <sz val="9"/>
        <rFont val="Arial"/>
        <family val="2"/>
      </rPr>
      <t>3</t>
    </r>
    <r>
      <rPr>
        <vertAlign val="superscript"/>
        <sz val="9"/>
        <rFont val="Arial"/>
        <family val="2"/>
      </rPr>
      <t>-</t>
    </r>
  </si>
  <si>
    <r>
      <t>Cl</t>
    </r>
    <r>
      <rPr>
        <vertAlign val="superscript"/>
        <sz val="9"/>
        <rFont val="Arial"/>
        <family val="2"/>
      </rPr>
      <t>-</t>
    </r>
  </si>
  <si>
    <r>
      <t>Mg</t>
    </r>
    <r>
      <rPr>
        <vertAlign val="superscript"/>
        <sz val="9"/>
        <rFont val="Arial"/>
        <family val="2"/>
      </rPr>
      <t>2+</t>
    </r>
  </si>
  <si>
    <r>
      <t>K</t>
    </r>
    <r>
      <rPr>
        <vertAlign val="superscript"/>
        <sz val="9"/>
        <rFont val="Arial"/>
        <family val="2"/>
      </rPr>
      <t>+</t>
    </r>
  </si>
  <si>
    <r>
      <t>Na</t>
    </r>
    <r>
      <rPr>
        <vertAlign val="superscript"/>
        <sz val="9"/>
        <rFont val="Arial"/>
        <family val="2"/>
      </rPr>
      <t>+</t>
    </r>
  </si>
  <si>
    <r>
      <t>CO</t>
    </r>
    <r>
      <rPr>
        <vertAlign val="subscript"/>
        <sz val="9"/>
        <rFont val="Arial"/>
        <family val="2"/>
      </rPr>
      <t>3</t>
    </r>
    <r>
      <rPr>
        <vertAlign val="superscript"/>
        <sz val="9"/>
        <rFont val="Arial"/>
        <family val="2"/>
      </rPr>
      <t>2-</t>
    </r>
  </si>
  <si>
    <r>
      <t>CaCO</t>
    </r>
    <r>
      <rPr>
        <vertAlign val="subscript"/>
        <sz val="9"/>
        <rFont val="Arial"/>
        <family val="2"/>
      </rPr>
      <t>3</t>
    </r>
  </si>
  <si>
    <r>
      <t>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>O</t>
    </r>
  </si>
  <si>
    <r>
      <t>SiO</t>
    </r>
    <r>
      <rPr>
        <vertAlign val="subscript"/>
        <sz val="9"/>
        <rFont val="Arial"/>
        <family val="2"/>
      </rPr>
      <t>2</t>
    </r>
  </si>
  <si>
    <r>
      <t>Fe</t>
    </r>
    <r>
      <rPr>
        <vertAlign val="superscript"/>
        <sz val="9"/>
        <rFont val="Arial"/>
        <family val="2"/>
      </rPr>
      <t>2+</t>
    </r>
  </si>
  <si>
    <r>
      <t>Fe</t>
    </r>
    <r>
      <rPr>
        <vertAlign val="superscript"/>
        <sz val="9"/>
        <rFont val="Arial"/>
        <family val="2"/>
      </rPr>
      <t>3+</t>
    </r>
  </si>
  <si>
    <r>
      <t>Al</t>
    </r>
    <r>
      <rPr>
        <vertAlign val="superscript"/>
        <sz val="9"/>
        <rFont val="Arial"/>
        <family val="2"/>
      </rPr>
      <t>3+</t>
    </r>
  </si>
  <si>
    <r>
      <t>NH</t>
    </r>
    <r>
      <rPr>
        <vertAlign val="subscript"/>
        <sz val="9"/>
        <rFont val="Arial"/>
        <family val="2"/>
      </rPr>
      <t>4</t>
    </r>
    <r>
      <rPr>
        <vertAlign val="superscript"/>
        <sz val="9"/>
        <rFont val="Arial"/>
        <family val="2"/>
      </rPr>
      <t>+</t>
    </r>
  </si>
  <si>
    <r>
      <t>Cu</t>
    </r>
    <r>
      <rPr>
        <vertAlign val="superscript"/>
        <sz val="9"/>
        <rFont val="Arial"/>
        <family val="2"/>
      </rPr>
      <t>2+</t>
    </r>
  </si>
  <si>
    <r>
      <t>Zn</t>
    </r>
    <r>
      <rPr>
        <vertAlign val="superscript"/>
        <sz val="9"/>
        <rFont val="Arial"/>
        <family val="2"/>
      </rPr>
      <t>2+</t>
    </r>
  </si>
  <si>
    <r>
      <t>PO</t>
    </r>
    <r>
      <rPr>
        <vertAlign val="subscript"/>
        <sz val="9"/>
        <rFont val="Arial"/>
        <family val="2"/>
      </rPr>
      <t>4</t>
    </r>
    <r>
      <rPr>
        <vertAlign val="superscript"/>
        <sz val="9"/>
        <rFont val="Arial"/>
        <family val="2"/>
      </rPr>
      <t>3-</t>
    </r>
  </si>
  <si>
    <r>
      <t>NO</t>
    </r>
    <r>
      <rPr>
        <vertAlign val="subscript"/>
        <sz val="9"/>
        <rFont val="Arial"/>
        <family val="2"/>
      </rPr>
      <t>2</t>
    </r>
    <r>
      <rPr>
        <vertAlign val="superscript"/>
        <sz val="9"/>
        <rFont val="Arial"/>
        <family val="2"/>
      </rPr>
      <t>-</t>
    </r>
  </si>
  <si>
    <r>
      <t>F</t>
    </r>
    <r>
      <rPr>
        <vertAlign val="superscript"/>
        <sz val="9"/>
        <rFont val="Arial"/>
        <family val="2"/>
      </rPr>
      <t>-</t>
    </r>
  </si>
  <si>
    <r>
      <t>Br</t>
    </r>
    <r>
      <rPr>
        <vertAlign val="superscript"/>
        <sz val="9"/>
        <rFont val="Arial"/>
        <family val="2"/>
      </rPr>
      <t>-</t>
    </r>
  </si>
  <si>
    <r>
      <t>Sr</t>
    </r>
    <r>
      <rPr>
        <vertAlign val="superscript"/>
        <sz val="9"/>
        <rFont val="Arial"/>
        <family val="2"/>
      </rPr>
      <t>2+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</si>
</sst>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"/>
    <numFmt numFmtId="166" formatCode="0.0"/>
  </numFmts>
  <fonts count="5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vertAlign val="sub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2" fillId="0" borderId="0" xfId="0" applyFont="1"/>
    <xf numFmtId="0" fontId="2" fillId="2" borderId="0" xfId="0" applyFont="1" applyFill="1" applyBorder="1" applyAlignment="1">
      <alignment horizontal="left"/>
    </xf>
    <xf numFmtId="165" fontId="2" fillId="2" borderId="0" xfId="0" applyNumberFormat="1" applyFont="1" applyFill="1" applyBorder="1" applyAlignment="1">
      <alignment horizontal="right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2" fontId="2" fillId="0" borderId="0" xfId="0" applyNumberFormat="1" applyFont="1" applyBorder="1" applyAlignment="1">
      <alignment horizontal="right"/>
    </xf>
    <xf numFmtId="165" fontId="2" fillId="0" borderId="0" xfId="0" applyNumberFormat="1" applyFont="1" applyBorder="1"/>
    <xf numFmtId="11" fontId="2" fillId="0" borderId="0" xfId="0" applyNumberFormat="1" applyFont="1" applyBorder="1"/>
    <xf numFmtId="0" fontId="2" fillId="0" borderId="0" xfId="0" applyFont="1" applyBorder="1" applyAlignment="1">
      <alignment horizontal="right"/>
    </xf>
    <xf numFmtId="0" fontId="2" fillId="3" borderId="0" xfId="0" applyFont="1" applyFill="1" applyBorder="1"/>
    <xf numFmtId="165" fontId="2" fillId="3" borderId="0" xfId="0" applyNumberFormat="1" applyFont="1" applyFill="1" applyBorder="1"/>
    <xf numFmtId="11" fontId="2" fillId="3" borderId="0" xfId="0" applyNumberFormat="1" applyFont="1" applyFill="1" applyBorder="1"/>
    <xf numFmtId="164" fontId="2" fillId="3" borderId="0" xfId="0" applyNumberFormat="1" applyFont="1" applyFill="1" applyBorder="1"/>
    <xf numFmtId="0" fontId="1" fillId="4" borderId="0" xfId="0" applyFont="1" applyFill="1" applyBorder="1"/>
    <xf numFmtId="2" fontId="2" fillId="4" borderId="0" xfId="0" applyNumberFormat="1" applyFont="1" applyFill="1" applyBorder="1"/>
    <xf numFmtId="0" fontId="2" fillId="4" borderId="0" xfId="0" applyFont="1" applyFill="1" applyBorder="1"/>
    <xf numFmtId="165" fontId="2" fillId="4" borderId="0" xfId="0" applyNumberFormat="1" applyFont="1" applyFill="1"/>
    <xf numFmtId="1" fontId="2" fillId="4" borderId="0" xfId="0" applyNumberFormat="1" applyFont="1" applyFill="1" applyBorder="1"/>
    <xf numFmtId="166" fontId="2" fillId="4" borderId="0" xfId="0" applyNumberFormat="1" applyFont="1" applyFill="1" applyBorder="1"/>
    <xf numFmtId="0" fontId="1" fillId="4" borderId="0" xfId="0" applyFont="1" applyFill="1"/>
    <xf numFmtId="0" fontId="2" fillId="4" borderId="0" xfId="0" applyFont="1" applyFill="1" applyBorder="1" applyAlignment="1">
      <alignment horizontal="right"/>
    </xf>
    <xf numFmtId="0" fontId="2" fillId="4" borderId="0" xfId="0" applyFont="1" applyFill="1" applyAlignment="1">
      <alignment horizontal="right"/>
    </xf>
    <xf numFmtId="0" fontId="1" fillId="3" borderId="0" xfId="0" applyFont="1" applyFill="1" applyBorder="1" applyAlignment="1">
      <alignment horizontal="right" wrapText="1"/>
    </xf>
    <xf numFmtId="0" fontId="1" fillId="3" borderId="0" xfId="0" applyFont="1" applyFill="1" applyBorder="1" applyAlignment="1">
      <alignment horizontal="right" vertical="top" wrapText="1"/>
    </xf>
    <xf numFmtId="0" fontId="1" fillId="4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="160" zoomScaleNormal="160" workbookViewId="0">
      <selection activeCell="E14" sqref="E14"/>
    </sheetView>
  </sheetViews>
  <sheetFormatPr defaultRowHeight="12" x14ac:dyDescent="0.2"/>
  <cols>
    <col min="1" max="1" width="8.28515625" style="7" customWidth="1"/>
    <col min="2" max="2" width="14.140625" style="7" customWidth="1"/>
    <col min="3" max="3" width="10.5703125" style="7" customWidth="1"/>
    <col min="4" max="4" width="13.7109375" style="7" bestFit="1" customWidth="1"/>
    <col min="5" max="5" width="8.28515625" style="7" customWidth="1"/>
    <col min="6" max="6" width="15.140625" style="7" customWidth="1"/>
    <col min="7" max="7" width="7.42578125" style="3" bestFit="1" customWidth="1"/>
    <col min="8" max="8" width="12" style="3" customWidth="1"/>
    <col min="9" max="9" width="12.28515625" style="3" customWidth="1"/>
    <col min="10" max="10" width="12.42578125" style="3" bestFit="1" customWidth="1"/>
    <col min="11" max="11" width="12.42578125" style="3" customWidth="1"/>
    <col min="12" max="13" width="10.42578125" style="3" bestFit="1" customWidth="1"/>
    <col min="14" max="15" width="12.42578125" style="3" bestFit="1" customWidth="1"/>
    <col min="16" max="16384" width="9.140625" style="3"/>
  </cols>
  <sheetData>
    <row r="1" spans="1:7" x14ac:dyDescent="0.2">
      <c r="A1" s="1" t="s">
        <v>41</v>
      </c>
      <c r="B1" s="2"/>
      <c r="C1" s="2"/>
      <c r="D1" s="2"/>
      <c r="E1" s="2"/>
      <c r="F1" s="2"/>
      <c r="G1" s="2"/>
    </row>
    <row r="2" spans="1:7" ht="13.5" x14ac:dyDescent="0.2">
      <c r="A2" s="4" t="s">
        <v>54</v>
      </c>
      <c r="B2" s="4" t="s">
        <v>19</v>
      </c>
      <c r="C2" s="5">
        <v>22.989768000000002</v>
      </c>
      <c r="D2" s="5"/>
      <c r="E2" s="4" t="s">
        <v>59</v>
      </c>
      <c r="F2" s="4" t="s">
        <v>27</v>
      </c>
      <c r="G2" s="5">
        <v>55.847000000000001</v>
      </c>
    </row>
    <row r="3" spans="1:7" ht="13.5" x14ac:dyDescent="0.2">
      <c r="A3" s="4" t="s">
        <v>53</v>
      </c>
      <c r="B3" s="4" t="s">
        <v>20</v>
      </c>
      <c r="C3" s="5">
        <v>39.098300000000002</v>
      </c>
      <c r="D3" s="5"/>
      <c r="E3" s="4" t="s">
        <v>60</v>
      </c>
      <c r="F3" s="4" t="s">
        <v>28</v>
      </c>
      <c r="G3" s="5">
        <v>55.847000000000001</v>
      </c>
    </row>
    <row r="4" spans="1:7" ht="13.5" x14ac:dyDescent="0.2">
      <c r="A4" s="4" t="s">
        <v>47</v>
      </c>
      <c r="B4" s="4" t="s">
        <v>21</v>
      </c>
      <c r="C4" s="5">
        <v>40.078000000000003</v>
      </c>
      <c r="D4" s="5"/>
      <c r="E4" s="4" t="s">
        <v>9</v>
      </c>
      <c r="F4" s="4" t="s">
        <v>39</v>
      </c>
      <c r="G4" s="5">
        <v>54.93085</v>
      </c>
    </row>
    <row r="5" spans="1:7" ht="13.5" x14ac:dyDescent="0.2">
      <c r="A5" s="4" t="s">
        <v>52</v>
      </c>
      <c r="B5" s="4" t="s">
        <v>22</v>
      </c>
      <c r="C5" s="5">
        <v>24.305</v>
      </c>
      <c r="D5" s="5"/>
      <c r="E5" s="4" t="s">
        <v>61</v>
      </c>
      <c r="F5" s="4" t="s">
        <v>29</v>
      </c>
      <c r="G5" s="5">
        <v>26.981999999999999</v>
      </c>
    </row>
    <row r="6" spans="1:7" ht="14.25" x14ac:dyDescent="0.25">
      <c r="A6" s="4" t="s">
        <v>51</v>
      </c>
      <c r="B6" s="4" t="s">
        <v>23</v>
      </c>
      <c r="C6" s="5">
        <v>35.4527</v>
      </c>
      <c r="D6" s="5"/>
      <c r="E6" s="4" t="s">
        <v>62</v>
      </c>
      <c r="F6" s="4" t="s">
        <v>30</v>
      </c>
      <c r="G6" s="5">
        <v>18.039000000000001</v>
      </c>
    </row>
    <row r="7" spans="1:7" ht="14.25" x14ac:dyDescent="0.25">
      <c r="A7" s="4" t="s">
        <v>48</v>
      </c>
      <c r="B7" s="4" t="s">
        <v>43</v>
      </c>
      <c r="C7" s="5">
        <v>96.063599999999994</v>
      </c>
      <c r="D7" s="5"/>
      <c r="E7" s="4" t="s">
        <v>63</v>
      </c>
      <c r="F7" s="4" t="s">
        <v>44</v>
      </c>
      <c r="G7" s="5">
        <v>63.545999999999999</v>
      </c>
    </row>
    <row r="8" spans="1:7" ht="14.25" x14ac:dyDescent="0.25">
      <c r="A8" s="4" t="s">
        <v>49</v>
      </c>
      <c r="B8" s="4" t="s">
        <v>24</v>
      </c>
      <c r="C8" s="5">
        <v>61.017139999999998</v>
      </c>
      <c r="D8" s="5"/>
      <c r="E8" s="4" t="s">
        <v>64</v>
      </c>
      <c r="F8" s="4" t="s">
        <v>31</v>
      </c>
      <c r="G8" s="5">
        <v>65.39</v>
      </c>
    </row>
    <row r="9" spans="1:7" ht="14.25" x14ac:dyDescent="0.25">
      <c r="A9" s="4" t="s">
        <v>50</v>
      </c>
      <c r="B9" s="4" t="s">
        <v>25</v>
      </c>
      <c r="C9" s="5">
        <v>62.004939999999998</v>
      </c>
      <c r="D9" s="5"/>
      <c r="E9" s="4" t="s">
        <v>65</v>
      </c>
      <c r="F9" s="4" t="s">
        <v>32</v>
      </c>
      <c r="G9" s="5">
        <v>94.971000000000004</v>
      </c>
    </row>
    <row r="10" spans="1:7" ht="14.25" x14ac:dyDescent="0.25">
      <c r="A10" s="4" t="s">
        <v>12</v>
      </c>
      <c r="B10" s="4" t="s">
        <v>26</v>
      </c>
      <c r="C10" s="5">
        <v>28.0855</v>
      </c>
      <c r="D10" s="5"/>
      <c r="E10" s="4" t="s">
        <v>66</v>
      </c>
      <c r="F10" s="4" t="s">
        <v>33</v>
      </c>
      <c r="G10" s="5">
        <v>46.005540000000003</v>
      </c>
    </row>
    <row r="11" spans="1:7" ht="14.25" x14ac:dyDescent="0.25">
      <c r="A11" s="4" t="s">
        <v>58</v>
      </c>
      <c r="B11" s="4" t="s">
        <v>11</v>
      </c>
      <c r="C11" s="5">
        <v>60.084299999999999</v>
      </c>
      <c r="D11" s="5"/>
      <c r="E11" s="4" t="s">
        <v>67</v>
      </c>
      <c r="F11" s="4" t="s">
        <v>35</v>
      </c>
      <c r="G11" s="5">
        <v>18.998403199999998</v>
      </c>
    </row>
    <row r="12" spans="1:7" ht="14.25" x14ac:dyDescent="0.25">
      <c r="A12" s="4" t="s">
        <v>57</v>
      </c>
      <c r="B12" s="4" t="s">
        <v>13</v>
      </c>
      <c r="C12" s="5">
        <v>18.015279999999994</v>
      </c>
      <c r="D12" s="5"/>
      <c r="E12" s="4" t="s">
        <v>68</v>
      </c>
      <c r="F12" s="2" t="s">
        <v>36</v>
      </c>
      <c r="G12" s="2">
        <v>79.903999999999996</v>
      </c>
    </row>
    <row r="13" spans="1:7" ht="14.25" x14ac:dyDescent="0.25">
      <c r="A13" s="4" t="s">
        <v>56</v>
      </c>
      <c r="B13" s="4" t="s">
        <v>40</v>
      </c>
      <c r="C13" s="5">
        <v>100.0872</v>
      </c>
      <c r="D13" s="5"/>
      <c r="E13" s="4" t="s">
        <v>69</v>
      </c>
      <c r="F13" s="2" t="s">
        <v>37</v>
      </c>
      <c r="G13" s="2">
        <v>87.62</v>
      </c>
    </row>
    <row r="14" spans="1:7" ht="14.25" x14ac:dyDescent="0.25">
      <c r="A14" s="4" t="s">
        <v>55</v>
      </c>
      <c r="B14" s="4" t="s">
        <v>34</v>
      </c>
      <c r="C14" s="5">
        <v>60.009</v>
      </c>
      <c r="D14" s="2"/>
      <c r="E14" s="2" t="s">
        <v>18</v>
      </c>
      <c r="F14" s="2" t="s">
        <v>38</v>
      </c>
      <c r="G14" s="5">
        <v>207.2</v>
      </c>
    </row>
    <row r="15" spans="1:7" x14ac:dyDescent="0.2">
      <c r="A15" s="6"/>
      <c r="D15" s="8"/>
    </row>
    <row r="16" spans="1:7" x14ac:dyDescent="0.2">
      <c r="A16" s="29" t="s">
        <v>46</v>
      </c>
      <c r="B16" s="29"/>
      <c r="C16" s="29"/>
      <c r="D16" s="29"/>
      <c r="G16" s="7"/>
    </row>
    <row r="17" spans="1:7" x14ac:dyDescent="0.2">
      <c r="A17" s="25" t="s">
        <v>14</v>
      </c>
      <c r="B17" s="25" t="s">
        <v>15</v>
      </c>
      <c r="C17" s="25" t="s">
        <v>16</v>
      </c>
      <c r="D17" s="26" t="s">
        <v>17</v>
      </c>
    </row>
    <row r="18" spans="1:7" x14ac:dyDescent="0.2">
      <c r="A18" s="18">
        <v>1</v>
      </c>
      <c r="B18" s="19">
        <f>C18/17.8</f>
        <v>0.56179775280898869</v>
      </c>
      <c r="C18" s="20">
        <f>A18*10</f>
        <v>10</v>
      </c>
      <c r="D18" s="21">
        <f>C18/C13</f>
        <v>9.9912875972152287E-2</v>
      </c>
    </row>
    <row r="19" spans="1:7" x14ac:dyDescent="0.2">
      <c r="A19" s="20">
        <f>C19/10</f>
        <v>1.78</v>
      </c>
      <c r="B19" s="18">
        <v>1</v>
      </c>
      <c r="C19" s="20">
        <f>B19*17.8</f>
        <v>17.8</v>
      </c>
      <c r="D19" s="21">
        <f>C19/C13</f>
        <v>0.17784491923043108</v>
      </c>
    </row>
    <row r="20" spans="1:7" x14ac:dyDescent="0.2">
      <c r="A20" s="22">
        <f>C20/10</f>
        <v>10.00872</v>
      </c>
      <c r="B20" s="19">
        <f>C20/17.8</f>
        <v>5.6228764044943818</v>
      </c>
      <c r="C20" s="23">
        <f>D20*C13</f>
        <v>100.0872</v>
      </c>
      <c r="D20" s="24">
        <v>1</v>
      </c>
    </row>
    <row r="21" spans="1:7" x14ac:dyDescent="0.2">
      <c r="B21" s="9"/>
    </row>
    <row r="22" spans="1:7" x14ac:dyDescent="0.2">
      <c r="G22" s="10"/>
    </row>
    <row r="23" spans="1:7" ht="24" x14ac:dyDescent="0.2">
      <c r="A23" s="14"/>
      <c r="B23" s="27" t="s">
        <v>42</v>
      </c>
      <c r="C23" s="28" t="s">
        <v>45</v>
      </c>
      <c r="G23" s="10"/>
    </row>
    <row r="24" spans="1:7" x14ac:dyDescent="0.2">
      <c r="A24" s="14" t="s">
        <v>4</v>
      </c>
      <c r="B24" s="14">
        <v>485</v>
      </c>
      <c r="C24" s="15">
        <f>B24/$B$29</f>
        <v>0.85689045936395758</v>
      </c>
      <c r="D24" s="11"/>
      <c r="G24" s="10"/>
    </row>
    <row r="25" spans="1:7" x14ac:dyDescent="0.2">
      <c r="A25" s="14" t="s">
        <v>5</v>
      </c>
      <c r="B25" s="14">
        <v>10.6</v>
      </c>
      <c r="C25" s="15">
        <f t="shared" ref="C25:C32" si="0">B25/$B$29</f>
        <v>1.872791519434629E-2</v>
      </c>
      <c r="D25" s="11"/>
      <c r="G25" s="10"/>
    </row>
    <row r="26" spans="1:7" x14ac:dyDescent="0.2">
      <c r="A26" s="14" t="s">
        <v>7</v>
      </c>
      <c r="B26" s="14">
        <v>55.1</v>
      </c>
      <c r="C26" s="15">
        <f t="shared" si="0"/>
        <v>9.7349823321554771E-2</v>
      </c>
      <c r="D26" s="11"/>
      <c r="G26" s="10"/>
    </row>
    <row r="27" spans="1:7" x14ac:dyDescent="0.2">
      <c r="A27" s="14" t="s">
        <v>6</v>
      </c>
      <c r="B27" s="14">
        <v>10.7</v>
      </c>
      <c r="C27" s="15">
        <f t="shared" si="0"/>
        <v>1.8904593639575969E-2</v>
      </c>
      <c r="D27" s="11"/>
      <c r="G27" s="10"/>
    </row>
    <row r="28" spans="1:7" x14ac:dyDescent="0.2">
      <c r="A28" s="14" t="s">
        <v>8</v>
      </c>
      <c r="B28" s="16">
        <v>1.9999999999999999E-6</v>
      </c>
      <c r="C28" s="16">
        <f t="shared" si="0"/>
        <v>3.5335689045936395E-9</v>
      </c>
      <c r="D28" s="12"/>
      <c r="G28" s="10"/>
    </row>
    <row r="29" spans="1:7" x14ac:dyDescent="0.2">
      <c r="A29" s="14" t="s">
        <v>2</v>
      </c>
      <c r="B29" s="14">
        <v>566</v>
      </c>
      <c r="C29" s="15">
        <f t="shared" si="0"/>
        <v>1</v>
      </c>
      <c r="D29" s="11"/>
      <c r="G29" s="13"/>
    </row>
    <row r="30" spans="1:7" x14ac:dyDescent="0.2">
      <c r="A30" s="14" t="s">
        <v>0</v>
      </c>
      <c r="B30" s="14">
        <v>29.3</v>
      </c>
      <c r="C30" s="15">
        <f t="shared" si="0"/>
        <v>5.1766784452296821E-2</v>
      </c>
      <c r="D30" s="11"/>
    </row>
    <row r="31" spans="1:7" x14ac:dyDescent="0.2">
      <c r="A31" s="14" t="s">
        <v>1</v>
      </c>
      <c r="B31" s="16">
        <v>5.0000000000000004E-6</v>
      </c>
      <c r="C31" s="16">
        <f t="shared" si="0"/>
        <v>8.8339222614840999E-9</v>
      </c>
      <c r="D31" s="12"/>
    </row>
    <row r="32" spans="1:7" x14ac:dyDescent="0.2">
      <c r="A32" s="14" t="s">
        <v>3</v>
      </c>
      <c r="B32" s="14">
        <v>2.4</v>
      </c>
      <c r="C32" s="17">
        <f t="shared" si="0"/>
        <v>4.2402826855123671E-3</v>
      </c>
      <c r="D32" s="9"/>
    </row>
    <row r="33" spans="1:4" x14ac:dyDescent="0.2">
      <c r="A33" s="14" t="s">
        <v>10</v>
      </c>
      <c r="B33" s="14">
        <v>0.85</v>
      </c>
      <c r="C33" s="17">
        <f>B33/B29</f>
        <v>1.5017667844522968E-3</v>
      </c>
      <c r="D33" s="9"/>
    </row>
  </sheetData>
  <mergeCells count="1">
    <mergeCell ref="A16:D16"/>
  </mergeCells>
  <phoneticPr fontId="0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>Universidade do Algarve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Mealha Stigter</dc:creator>
  <cp:lastModifiedBy>Tibor Stigter</cp:lastModifiedBy>
  <dcterms:created xsi:type="dcterms:W3CDTF">2002-05-13T17:05:44Z</dcterms:created>
  <dcterms:modified xsi:type="dcterms:W3CDTF">2016-02-09T14:12:50Z</dcterms:modified>
</cp:coreProperties>
</file>