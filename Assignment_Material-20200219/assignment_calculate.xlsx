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tabRatio="716" activeTab="5"/>
  </bookViews>
  <sheets>
    <sheet name="source" sheetId="1" r:id="rId1"/>
    <sheet name="Folha" sheetId="3" r:id="rId2"/>
    <sheet name="Unit conversion" sheetId="2" r:id="rId3"/>
    <sheet name="Visualisation" sheetId="4" r:id="rId4"/>
    <sheet name="Recharge" sheetId="5" r:id="rId5"/>
    <sheet name="Mineral" sheetId="6" r:id="rId6"/>
    <sheet name="Reduction" sheetId="7" r:id="rId7"/>
    <sheet name="Cation exchange" sheetId="8" r:id="rId8"/>
  </sheets>
  <calcPr calcId="152511"/>
</workbook>
</file>

<file path=xl/calcChain.xml><?xml version="1.0" encoding="utf-8"?>
<calcChain xmlns="http://schemas.openxmlformats.org/spreadsheetml/2006/main">
  <c r="J33" i="8" l="1"/>
  <c r="K33" i="8"/>
  <c r="L33" i="8"/>
  <c r="M33" i="8"/>
  <c r="J34" i="8"/>
  <c r="K34" i="8"/>
  <c r="L34" i="8"/>
  <c r="M34" i="8"/>
  <c r="J35" i="8"/>
  <c r="K35" i="8"/>
  <c r="L35" i="8"/>
  <c r="M35" i="8"/>
  <c r="J36" i="8"/>
  <c r="K36" i="8"/>
  <c r="L36" i="8"/>
  <c r="M36" i="8"/>
  <c r="J37" i="8"/>
  <c r="K37" i="8"/>
  <c r="L37" i="8"/>
  <c r="M37" i="8"/>
  <c r="K32" i="8"/>
  <c r="L32" i="8"/>
  <c r="M32" i="8"/>
  <c r="J32" i="8"/>
  <c r="C24" i="8"/>
  <c r="D24" i="8"/>
  <c r="E24" i="8"/>
  <c r="F24" i="8"/>
  <c r="C25" i="8"/>
  <c r="D25" i="8"/>
  <c r="E25" i="8"/>
  <c r="F25" i="8"/>
  <c r="C26" i="8"/>
  <c r="D26" i="8"/>
  <c r="E26" i="8"/>
  <c r="F26" i="8"/>
  <c r="C27" i="8"/>
  <c r="D27" i="8"/>
  <c r="E27" i="8"/>
  <c r="F27" i="8"/>
  <c r="C28" i="8"/>
  <c r="D28" i="8"/>
  <c r="E28" i="8"/>
  <c r="F28" i="8"/>
  <c r="D23" i="8"/>
  <c r="E23" i="8"/>
  <c r="F23" i="8"/>
  <c r="C23" i="8"/>
  <c r="H15" i="8"/>
  <c r="H16" i="8"/>
  <c r="H17" i="8"/>
  <c r="H18" i="8"/>
  <c r="H19" i="8"/>
  <c r="H14" i="8"/>
  <c r="E15" i="8"/>
  <c r="E16" i="8"/>
  <c r="E17" i="8"/>
  <c r="E18" i="8"/>
  <c r="E19" i="8"/>
  <c r="E14" i="8"/>
  <c r="C15" i="8"/>
  <c r="C16" i="8"/>
  <c r="C17" i="8"/>
  <c r="C18" i="8"/>
  <c r="C19" i="8"/>
  <c r="C14" i="8"/>
  <c r="M46" i="7" l="1"/>
  <c r="L31" i="5" l="1"/>
  <c r="M31" i="5"/>
  <c r="N31" i="5"/>
  <c r="O31" i="5"/>
  <c r="T31" i="5" s="1"/>
  <c r="L32" i="5"/>
  <c r="Q32" i="5" s="1"/>
  <c r="M32" i="5"/>
  <c r="N32" i="5"/>
  <c r="O32" i="5"/>
  <c r="T32" i="5" s="1"/>
  <c r="L33" i="5"/>
  <c r="Q33" i="5" s="1"/>
  <c r="M33" i="5"/>
  <c r="R33" i="5" s="1"/>
  <c r="N33" i="5"/>
  <c r="O33" i="5"/>
  <c r="T33" i="5" s="1"/>
  <c r="L34" i="5"/>
  <c r="Q34" i="5" s="1"/>
  <c r="M34" i="5"/>
  <c r="N34" i="5"/>
  <c r="O34" i="5"/>
  <c r="L35" i="5"/>
  <c r="Q35" i="5" s="1"/>
  <c r="M35" i="5"/>
  <c r="R35" i="5" s="1"/>
  <c r="N35" i="5"/>
  <c r="O35" i="5"/>
  <c r="L36" i="5"/>
  <c r="Q36" i="5" s="1"/>
  <c r="M36" i="5"/>
  <c r="N36" i="5"/>
  <c r="O36" i="5"/>
  <c r="L37" i="5"/>
  <c r="Q37" i="5" s="1"/>
  <c r="M37" i="5"/>
  <c r="N37" i="5"/>
  <c r="O37" i="5"/>
  <c r="L38" i="5"/>
  <c r="Q38" i="5" s="1"/>
  <c r="M38" i="5"/>
  <c r="N38" i="5"/>
  <c r="O38" i="5"/>
  <c r="T38" i="5" s="1"/>
  <c r="L39" i="5"/>
  <c r="M39" i="5"/>
  <c r="R39" i="5" s="1"/>
  <c r="N39" i="5"/>
  <c r="O39" i="5"/>
  <c r="T39" i="5" s="1"/>
  <c r="L40" i="5"/>
  <c r="Q40" i="5" s="1"/>
  <c r="M40" i="5"/>
  <c r="N40" i="5"/>
  <c r="O40" i="5"/>
  <c r="T40" i="5" s="1"/>
  <c r="L41" i="5"/>
  <c r="M41" i="5"/>
  <c r="N41" i="5"/>
  <c r="O41" i="5"/>
  <c r="L42" i="5"/>
  <c r="Q42" i="5" s="1"/>
  <c r="M42" i="5"/>
  <c r="N42" i="5"/>
  <c r="O42" i="5"/>
  <c r="T42" i="5" s="1"/>
  <c r="M30" i="5"/>
  <c r="R30" i="5" s="1"/>
  <c r="N30" i="5"/>
  <c r="S30" i="5" s="1"/>
  <c r="O30" i="5"/>
  <c r="L30" i="5"/>
  <c r="Q30" i="5" s="1"/>
  <c r="R32" i="5"/>
  <c r="S32" i="5"/>
  <c r="T34" i="5"/>
  <c r="S36" i="5"/>
  <c r="T36" i="5"/>
  <c r="R38" i="5"/>
  <c r="S38" i="5"/>
  <c r="R40" i="5"/>
  <c r="S40" i="5"/>
  <c r="R42" i="5"/>
  <c r="S42" i="5"/>
  <c r="Q31" i="5"/>
  <c r="R31" i="5"/>
  <c r="S31" i="5"/>
  <c r="S33" i="5"/>
  <c r="R34" i="5"/>
  <c r="S34" i="5"/>
  <c r="S35" i="5"/>
  <c r="T35" i="5"/>
  <c r="R36" i="5"/>
  <c r="R37" i="5"/>
  <c r="S37" i="5"/>
  <c r="T37" i="5"/>
  <c r="Q39" i="5"/>
  <c r="S39" i="5"/>
  <c r="Q41" i="5"/>
  <c r="R41" i="5"/>
  <c r="S41" i="5"/>
  <c r="T41" i="5"/>
  <c r="T30" i="5"/>
  <c r="E32" i="5"/>
  <c r="E33" i="5"/>
  <c r="E34" i="5"/>
  <c r="E35" i="5"/>
  <c r="E36" i="5"/>
  <c r="E37" i="5"/>
  <c r="E30" i="5"/>
  <c r="E38" i="5"/>
  <c r="E39" i="5"/>
  <c r="E40" i="5"/>
  <c r="E41" i="5"/>
  <c r="E42" i="5"/>
  <c r="E31" i="5"/>
  <c r="E8" i="5"/>
  <c r="E9" i="5"/>
  <c r="E10" i="5"/>
  <c r="E11" i="5"/>
  <c r="E12" i="5"/>
  <c r="E13" i="5"/>
  <c r="E14" i="5"/>
  <c r="E15" i="5"/>
  <c r="E16" i="5"/>
  <c r="E17" i="5"/>
  <c r="E18" i="5"/>
  <c r="E19" i="5"/>
  <c r="E20" i="5"/>
  <c r="AQ4" i="2"/>
  <c r="AQ5" i="2"/>
  <c r="AQ6" i="2"/>
  <c r="AQ7" i="2"/>
  <c r="AQ8" i="2"/>
  <c r="AQ9" i="2"/>
  <c r="AQ10" i="2"/>
  <c r="AQ11" i="2"/>
  <c r="AQ12" i="2"/>
  <c r="AQ13" i="2"/>
  <c r="AQ14" i="2"/>
  <c r="AQ15" i="2"/>
  <c r="AQ16" i="2"/>
  <c r="AQ17" i="2"/>
  <c r="AQ18" i="2"/>
  <c r="AQ19" i="2"/>
  <c r="AQ20" i="2"/>
  <c r="AQ21" i="2"/>
  <c r="AQ22" i="2"/>
  <c r="AQ23" i="2"/>
  <c r="AQ3" i="2"/>
  <c r="AP4" i="2"/>
  <c r="AP5" i="2"/>
  <c r="AP6" i="2"/>
  <c r="AP7" i="2"/>
  <c r="AP8" i="2"/>
  <c r="AP9" i="2"/>
  <c r="AP10" i="2"/>
  <c r="AP11" i="2"/>
  <c r="AP12" i="2"/>
  <c r="AP13" i="2"/>
  <c r="AP14" i="2"/>
  <c r="AP15" i="2"/>
  <c r="AP16" i="2"/>
  <c r="AP17" i="2"/>
  <c r="AP18" i="2"/>
  <c r="AP19" i="2"/>
  <c r="AP20" i="2"/>
  <c r="AP21" i="2"/>
  <c r="AP22" i="2"/>
  <c r="AP23" i="2"/>
  <c r="AP3" i="2"/>
  <c r="E23" i="5" l="1"/>
  <c r="E22" i="5"/>
  <c r="E21" i="5"/>
  <c r="E24" i="5"/>
  <c r="AO4" i="2"/>
  <c r="AO5" i="2"/>
  <c r="AO6" i="2"/>
  <c r="AO7" i="2"/>
  <c r="AO8" i="2"/>
  <c r="AO9" i="2"/>
  <c r="AO10" i="2"/>
  <c r="AO11" i="2"/>
  <c r="AO12" i="2"/>
  <c r="AO13" i="2"/>
  <c r="AO14" i="2"/>
  <c r="AO15" i="2"/>
  <c r="AO16" i="2"/>
  <c r="AO17" i="2"/>
  <c r="AO18" i="2"/>
  <c r="AO19" i="2"/>
  <c r="AO20" i="2"/>
  <c r="AO21" i="2"/>
  <c r="AO22" i="2"/>
  <c r="AO23" i="2"/>
  <c r="AO3" i="2"/>
  <c r="T8" i="2"/>
  <c r="AK8" i="2" s="1"/>
  <c r="AL8" i="2" s="1"/>
  <c r="T9" i="2"/>
  <c r="T10" i="2"/>
  <c r="T11" i="2"/>
  <c r="T12" i="2"/>
  <c r="T13" i="2"/>
  <c r="T14" i="2"/>
  <c r="T15" i="2"/>
  <c r="T16" i="2"/>
  <c r="T17" i="2"/>
  <c r="T18" i="2"/>
  <c r="T19" i="2"/>
  <c r="T20" i="2"/>
  <c r="AK20" i="2" s="1"/>
  <c r="AL20" i="2" s="1"/>
  <c r="T21" i="2"/>
  <c r="AK21" i="2" s="1"/>
  <c r="AL21" i="2" s="1"/>
  <c r="T22" i="2"/>
  <c r="AK22" i="2" s="1"/>
  <c r="AL22" i="2" s="1"/>
  <c r="T23" i="2"/>
  <c r="AK23" i="2" s="1"/>
  <c r="AL23" i="2" s="1"/>
  <c r="AK15" i="2"/>
  <c r="AL15" i="2" s="1"/>
  <c r="AK19" i="2"/>
  <c r="AL19" i="2" s="1"/>
  <c r="T7" i="2"/>
  <c r="S7" i="2" s="1"/>
  <c r="R7" i="2" s="1"/>
  <c r="AL4" i="2"/>
  <c r="AL5" i="2"/>
  <c r="AL6" i="2"/>
  <c r="AL9" i="2"/>
  <c r="AL10" i="2"/>
  <c r="AL18" i="2"/>
  <c r="AL3" i="2"/>
  <c r="AK4" i="2"/>
  <c r="AK5" i="2"/>
  <c r="AK6" i="2"/>
  <c r="AK9" i="2"/>
  <c r="AK10" i="2"/>
  <c r="AK11" i="2"/>
  <c r="AL11" i="2" s="1"/>
  <c r="AK12" i="2"/>
  <c r="AL12" i="2" s="1"/>
  <c r="AK13" i="2"/>
  <c r="AL13" i="2" s="1"/>
  <c r="AK14" i="2"/>
  <c r="AL14" i="2" s="1"/>
  <c r="AK16" i="2"/>
  <c r="AL16" i="2" s="1"/>
  <c r="AK17" i="2"/>
  <c r="AL17" i="2" s="1"/>
  <c r="AK18" i="2"/>
  <c r="AJ4" i="2"/>
  <c r="AJ5" i="2"/>
  <c r="AJ6" i="2"/>
  <c r="AJ7" i="2"/>
  <c r="AJ8" i="2"/>
  <c r="AJ9" i="2"/>
  <c r="AJ10" i="2"/>
  <c r="AJ11" i="2"/>
  <c r="AJ12" i="2"/>
  <c r="AJ13" i="2"/>
  <c r="AJ14" i="2"/>
  <c r="AJ15" i="2"/>
  <c r="AJ16" i="2"/>
  <c r="AJ17" i="2"/>
  <c r="AJ18" i="2"/>
  <c r="AJ19" i="2"/>
  <c r="AJ20" i="2"/>
  <c r="AJ21" i="2"/>
  <c r="AJ22" i="2"/>
  <c r="AJ23" i="2"/>
  <c r="AK3" i="2"/>
  <c r="AJ3" i="2"/>
  <c r="S9" i="2"/>
  <c r="R9" i="2" s="1"/>
  <c r="AI4" i="2"/>
  <c r="AI5" i="2"/>
  <c r="AI6" i="2"/>
  <c r="AI7" i="2"/>
  <c r="AI8" i="2"/>
  <c r="AI9" i="2"/>
  <c r="AI10" i="2"/>
  <c r="AI11" i="2"/>
  <c r="AI12" i="2"/>
  <c r="AI13" i="2"/>
  <c r="AI14" i="2"/>
  <c r="AI15" i="2"/>
  <c r="AI16" i="2"/>
  <c r="AI17" i="2"/>
  <c r="AI18" i="2"/>
  <c r="AI19" i="2"/>
  <c r="AI20" i="2"/>
  <c r="AI21" i="2"/>
  <c r="AI22" i="2"/>
  <c r="AI23" i="2"/>
  <c r="AI3" i="2"/>
  <c r="AH4" i="2"/>
  <c r="AH5" i="2"/>
  <c r="AH6" i="2"/>
  <c r="AH7" i="2"/>
  <c r="AH8" i="2"/>
  <c r="AH9" i="2"/>
  <c r="AH10" i="2"/>
  <c r="AH11" i="2"/>
  <c r="AH12" i="2"/>
  <c r="AH13" i="2"/>
  <c r="AH14" i="2"/>
  <c r="AH15" i="2"/>
  <c r="AH16" i="2"/>
  <c r="AH17" i="2"/>
  <c r="AH18" i="2"/>
  <c r="AH19" i="2"/>
  <c r="AH20" i="2"/>
  <c r="AH21" i="2"/>
  <c r="AH22" i="2"/>
  <c r="AH23" i="2"/>
  <c r="AH3" i="2"/>
  <c r="AF4" i="2"/>
  <c r="AF5" i="2"/>
  <c r="AF6" i="2"/>
  <c r="AF7" i="2"/>
  <c r="AF8" i="2"/>
  <c r="AF9" i="2"/>
  <c r="AF10" i="2"/>
  <c r="AF11" i="2"/>
  <c r="AF12" i="2"/>
  <c r="AF13" i="2"/>
  <c r="AF14" i="2"/>
  <c r="AF15" i="2"/>
  <c r="AF16" i="2"/>
  <c r="AF17" i="2"/>
  <c r="AF18" i="2"/>
  <c r="AF19" i="2"/>
  <c r="AF20" i="2"/>
  <c r="AF21" i="2"/>
  <c r="AF22" i="2"/>
  <c r="AF23" i="2"/>
  <c r="AF3" i="2"/>
  <c r="AE4" i="2"/>
  <c r="AE5" i="2"/>
  <c r="AE6" i="2"/>
  <c r="AE7" i="2"/>
  <c r="AE8" i="2"/>
  <c r="AE9" i="2"/>
  <c r="AE10" i="2"/>
  <c r="AE11" i="2"/>
  <c r="AE12" i="2"/>
  <c r="AE13" i="2"/>
  <c r="AE14" i="2"/>
  <c r="AE15" i="2"/>
  <c r="AE16" i="2"/>
  <c r="AE17" i="2"/>
  <c r="AE18" i="2"/>
  <c r="AE19" i="2"/>
  <c r="AE20" i="2"/>
  <c r="AE21" i="2"/>
  <c r="AE22" i="2"/>
  <c r="AE23" i="2"/>
  <c r="AE3" i="2"/>
  <c r="AC4" i="2"/>
  <c r="AC5" i="2"/>
  <c r="AC6" i="2"/>
  <c r="AC7" i="2"/>
  <c r="AC8" i="2"/>
  <c r="AC9" i="2"/>
  <c r="AC10" i="2"/>
  <c r="AC11" i="2"/>
  <c r="AC12" i="2"/>
  <c r="AC13" i="2"/>
  <c r="AC14" i="2"/>
  <c r="AC15" i="2"/>
  <c r="AC16" i="2"/>
  <c r="AC17" i="2"/>
  <c r="AC18" i="2"/>
  <c r="AC19" i="2"/>
  <c r="AC20" i="2"/>
  <c r="AC21" i="2"/>
  <c r="AC22" i="2"/>
  <c r="AC23" i="2"/>
  <c r="AC3" i="2"/>
  <c r="AB4" i="2"/>
  <c r="AB5" i="2"/>
  <c r="AB6" i="2"/>
  <c r="AB7" i="2"/>
  <c r="AB8" i="2"/>
  <c r="AB9" i="2"/>
  <c r="AB10" i="2"/>
  <c r="AB11" i="2"/>
  <c r="AB12" i="2"/>
  <c r="AB13" i="2"/>
  <c r="AB14" i="2"/>
  <c r="AB15" i="2"/>
  <c r="AB16" i="2"/>
  <c r="AB17" i="2"/>
  <c r="AB18" i="2"/>
  <c r="AB19" i="2"/>
  <c r="AB20" i="2"/>
  <c r="AB21" i="2"/>
  <c r="AB22" i="2"/>
  <c r="AB23" i="2"/>
  <c r="AB3" i="2"/>
  <c r="Z4" i="2"/>
  <c r="Z5" i="2"/>
  <c r="Z6" i="2"/>
  <c r="Z7" i="2"/>
  <c r="Z8" i="2"/>
  <c r="Z9" i="2"/>
  <c r="Z10" i="2"/>
  <c r="Z11" i="2"/>
  <c r="Z12" i="2"/>
  <c r="Z13" i="2"/>
  <c r="Z14" i="2"/>
  <c r="Z15" i="2"/>
  <c r="Z16" i="2"/>
  <c r="Z17" i="2"/>
  <c r="Z18" i="2"/>
  <c r="Z19" i="2"/>
  <c r="Z20" i="2"/>
  <c r="Z21" i="2"/>
  <c r="Z22" i="2"/>
  <c r="Z23" i="2"/>
  <c r="Z3" i="2"/>
  <c r="Y4" i="2"/>
  <c r="Y5" i="2"/>
  <c r="Y6" i="2"/>
  <c r="Y7" i="2"/>
  <c r="Y8" i="2"/>
  <c r="Y9" i="2"/>
  <c r="Y10" i="2"/>
  <c r="Y11" i="2"/>
  <c r="Y12" i="2"/>
  <c r="Y13" i="2"/>
  <c r="Y14" i="2"/>
  <c r="Y15" i="2"/>
  <c r="Y16" i="2"/>
  <c r="Y17" i="2"/>
  <c r="Y18" i="2"/>
  <c r="Y19" i="2"/>
  <c r="Y20" i="2"/>
  <c r="Y21" i="2"/>
  <c r="Y22" i="2"/>
  <c r="Y23" i="2"/>
  <c r="Y3" i="2"/>
  <c r="W4" i="2"/>
  <c r="W5" i="2"/>
  <c r="W6" i="2"/>
  <c r="W7" i="2"/>
  <c r="W8" i="2"/>
  <c r="W9" i="2"/>
  <c r="W10" i="2"/>
  <c r="W11" i="2"/>
  <c r="W12" i="2"/>
  <c r="W13" i="2"/>
  <c r="W14" i="2"/>
  <c r="W15" i="2"/>
  <c r="W16" i="2"/>
  <c r="W17" i="2"/>
  <c r="W18" i="2"/>
  <c r="W19" i="2"/>
  <c r="W20" i="2"/>
  <c r="W21" i="2"/>
  <c r="W22" i="2"/>
  <c r="W23" i="2"/>
  <c r="W3" i="2"/>
  <c r="V4" i="2"/>
  <c r="V5" i="2"/>
  <c r="V6" i="2"/>
  <c r="V7" i="2"/>
  <c r="V8" i="2"/>
  <c r="V9" i="2"/>
  <c r="V10" i="2"/>
  <c r="V11" i="2"/>
  <c r="V12" i="2"/>
  <c r="V13" i="2"/>
  <c r="V14" i="2"/>
  <c r="V15" i="2"/>
  <c r="V16" i="2"/>
  <c r="V17" i="2"/>
  <c r="V18" i="2"/>
  <c r="V19" i="2"/>
  <c r="V20" i="2"/>
  <c r="V21" i="2"/>
  <c r="V22" i="2"/>
  <c r="V23" i="2"/>
  <c r="V3" i="2"/>
  <c r="T4" i="2"/>
  <c r="T5" i="2"/>
  <c r="T6" i="2"/>
  <c r="T3" i="2"/>
  <c r="S4" i="2"/>
  <c r="S5" i="2"/>
  <c r="S6" i="2"/>
  <c r="S10" i="2"/>
  <c r="S11" i="2"/>
  <c r="S12" i="2"/>
  <c r="S13" i="2"/>
  <c r="S14" i="2"/>
  <c r="S15" i="2"/>
  <c r="S16" i="2"/>
  <c r="S17" i="2"/>
  <c r="S18" i="2"/>
  <c r="S19" i="2"/>
  <c r="S20" i="2"/>
  <c r="S21" i="2"/>
  <c r="S22" i="2"/>
  <c r="S23" i="2"/>
  <c r="S3" i="2"/>
  <c r="Q4" i="2"/>
  <c r="Q5" i="2"/>
  <c r="Q6" i="2"/>
  <c r="Q7" i="2"/>
  <c r="Q8" i="2"/>
  <c r="Q9" i="2"/>
  <c r="Q10" i="2"/>
  <c r="Q11" i="2"/>
  <c r="Q12" i="2"/>
  <c r="Q13" i="2"/>
  <c r="Q14" i="2"/>
  <c r="Q15" i="2"/>
  <c r="Q16" i="2"/>
  <c r="Q17" i="2"/>
  <c r="Q18" i="2"/>
  <c r="Q19" i="2"/>
  <c r="Q20" i="2"/>
  <c r="Q21" i="2"/>
  <c r="Q22" i="2"/>
  <c r="Q23" i="2"/>
  <c r="Q3" i="2"/>
  <c r="P4" i="2"/>
  <c r="P5" i="2"/>
  <c r="P6" i="2"/>
  <c r="P7" i="2"/>
  <c r="P8" i="2"/>
  <c r="P9" i="2"/>
  <c r="P10" i="2"/>
  <c r="P11" i="2"/>
  <c r="P12" i="2"/>
  <c r="P13" i="2"/>
  <c r="P14" i="2"/>
  <c r="P15" i="2"/>
  <c r="P16" i="2"/>
  <c r="P17" i="2"/>
  <c r="P18" i="2"/>
  <c r="P19" i="2"/>
  <c r="P20" i="2"/>
  <c r="P21" i="2"/>
  <c r="P22" i="2"/>
  <c r="P23" i="2"/>
  <c r="P3" i="2"/>
  <c r="N4" i="2"/>
  <c r="N5" i="2"/>
  <c r="N6" i="2"/>
  <c r="N7" i="2"/>
  <c r="N8" i="2"/>
  <c r="N9" i="2"/>
  <c r="N10" i="2"/>
  <c r="N11" i="2"/>
  <c r="N12" i="2"/>
  <c r="N13" i="2"/>
  <c r="N14" i="2"/>
  <c r="N15" i="2"/>
  <c r="N16" i="2"/>
  <c r="N17" i="2"/>
  <c r="N18" i="2"/>
  <c r="N19" i="2"/>
  <c r="N20" i="2"/>
  <c r="N21" i="2"/>
  <c r="N22" i="2"/>
  <c r="N23" i="2"/>
  <c r="N3" i="2"/>
  <c r="M4" i="2"/>
  <c r="M5" i="2"/>
  <c r="M6" i="2"/>
  <c r="M7" i="2"/>
  <c r="M8" i="2"/>
  <c r="M9" i="2"/>
  <c r="M10" i="2"/>
  <c r="M11" i="2"/>
  <c r="M12" i="2"/>
  <c r="M13" i="2"/>
  <c r="M14" i="2"/>
  <c r="M15" i="2"/>
  <c r="M16" i="2"/>
  <c r="M17" i="2"/>
  <c r="M18" i="2"/>
  <c r="M19" i="2"/>
  <c r="M20" i="2"/>
  <c r="M21" i="2"/>
  <c r="M22" i="2"/>
  <c r="M23" i="2"/>
  <c r="M3" i="2"/>
  <c r="K4" i="2"/>
  <c r="K5" i="2"/>
  <c r="K6" i="2"/>
  <c r="K7" i="2"/>
  <c r="K8" i="2"/>
  <c r="K9" i="2"/>
  <c r="K10" i="2"/>
  <c r="K11" i="2"/>
  <c r="K12" i="2"/>
  <c r="K13" i="2"/>
  <c r="K14" i="2"/>
  <c r="K15" i="2"/>
  <c r="K16" i="2"/>
  <c r="K17" i="2"/>
  <c r="K18" i="2"/>
  <c r="K19" i="2"/>
  <c r="K20" i="2"/>
  <c r="K21" i="2"/>
  <c r="K22" i="2"/>
  <c r="K23" i="2"/>
  <c r="K3" i="2"/>
  <c r="J4" i="2"/>
  <c r="J5" i="2"/>
  <c r="J6" i="2"/>
  <c r="J7" i="2"/>
  <c r="J8" i="2"/>
  <c r="J9" i="2"/>
  <c r="J10" i="2"/>
  <c r="J11" i="2"/>
  <c r="J12" i="2"/>
  <c r="J13" i="2"/>
  <c r="J14" i="2"/>
  <c r="J15" i="2"/>
  <c r="J16" i="2"/>
  <c r="J17" i="2"/>
  <c r="J18" i="2"/>
  <c r="J19" i="2"/>
  <c r="J20" i="2"/>
  <c r="J21" i="2"/>
  <c r="J22" i="2"/>
  <c r="J23" i="2"/>
  <c r="J3" i="2"/>
  <c r="H4" i="2"/>
  <c r="H5" i="2"/>
  <c r="H6" i="2"/>
  <c r="H7" i="2"/>
  <c r="H8" i="2"/>
  <c r="H9" i="2"/>
  <c r="H10" i="2"/>
  <c r="H11" i="2"/>
  <c r="H12" i="2"/>
  <c r="H13" i="2"/>
  <c r="H14" i="2"/>
  <c r="H15" i="2"/>
  <c r="H16" i="2"/>
  <c r="H17" i="2"/>
  <c r="H18" i="2"/>
  <c r="H19" i="2"/>
  <c r="H20" i="2"/>
  <c r="H21" i="2"/>
  <c r="H22" i="2"/>
  <c r="H23" i="2"/>
  <c r="H3" i="2"/>
  <c r="G4" i="2"/>
  <c r="G5" i="2"/>
  <c r="G6" i="2"/>
  <c r="G7" i="2"/>
  <c r="G8" i="2"/>
  <c r="G9" i="2"/>
  <c r="G10" i="2"/>
  <c r="G11" i="2"/>
  <c r="G12" i="2"/>
  <c r="G13" i="2"/>
  <c r="G14" i="2"/>
  <c r="G15" i="2"/>
  <c r="G16" i="2"/>
  <c r="G17" i="2"/>
  <c r="G18" i="2"/>
  <c r="G19" i="2"/>
  <c r="G20" i="2"/>
  <c r="G21" i="2"/>
  <c r="G22" i="2"/>
  <c r="G23" i="2"/>
  <c r="G3" i="2"/>
  <c r="E4" i="2"/>
  <c r="E5" i="2"/>
  <c r="E9" i="2"/>
  <c r="E10" i="2"/>
  <c r="E11" i="2"/>
  <c r="E12" i="2"/>
  <c r="E13" i="2"/>
  <c r="E17" i="2"/>
  <c r="E18" i="2"/>
  <c r="E19" i="2"/>
  <c r="E20" i="2"/>
  <c r="E21" i="2"/>
  <c r="D4" i="2"/>
  <c r="D5" i="2"/>
  <c r="D6" i="2"/>
  <c r="E6" i="2" s="1"/>
  <c r="D7" i="2"/>
  <c r="E7" i="2" s="1"/>
  <c r="D8" i="2"/>
  <c r="E8" i="2" s="1"/>
  <c r="D9" i="2"/>
  <c r="D10" i="2"/>
  <c r="D11" i="2"/>
  <c r="D12" i="2"/>
  <c r="D13" i="2"/>
  <c r="D14" i="2"/>
  <c r="E14" i="2" s="1"/>
  <c r="D15" i="2"/>
  <c r="E15" i="2" s="1"/>
  <c r="D16" i="2"/>
  <c r="E16" i="2" s="1"/>
  <c r="D17" i="2"/>
  <c r="D18" i="2"/>
  <c r="D19" i="2"/>
  <c r="D20" i="2"/>
  <c r="D21" i="2"/>
  <c r="D22" i="2"/>
  <c r="E22" i="2" s="1"/>
  <c r="D23" i="2"/>
  <c r="E23" i="2" s="1"/>
  <c r="D3" i="2"/>
  <c r="E3" i="2" s="1"/>
  <c r="C33" i="3"/>
  <c r="C32" i="3"/>
  <c r="C31" i="3"/>
  <c r="C30" i="3"/>
  <c r="C29" i="3"/>
  <c r="C28" i="3"/>
  <c r="C27" i="3"/>
  <c r="C26" i="3"/>
  <c r="C25" i="3"/>
  <c r="C24" i="3"/>
  <c r="C20" i="3"/>
  <c r="B20" i="3"/>
  <c r="A20" i="3"/>
  <c r="D19" i="3"/>
  <c r="C19" i="3"/>
  <c r="A19" i="3"/>
  <c r="C18" i="3"/>
  <c r="D18" i="3" s="1"/>
  <c r="S8" i="2" l="1"/>
  <c r="R8" i="2" s="1"/>
  <c r="AK7" i="2"/>
  <c r="AL7" i="2" s="1"/>
  <c r="B18" i="3"/>
</calcChain>
</file>

<file path=xl/sharedStrings.xml><?xml version="1.0" encoding="utf-8"?>
<sst xmlns="http://schemas.openxmlformats.org/spreadsheetml/2006/main" count="632" uniqueCount="195">
  <si>
    <t>Number</t>
  </si>
  <si>
    <t>Name</t>
  </si>
  <si>
    <t>Type</t>
  </si>
  <si>
    <t>UTM E (m)</t>
  </si>
  <si>
    <t>UTM N (m)</t>
  </si>
  <si>
    <t>Elevation (m)</t>
  </si>
  <si>
    <t>Date</t>
  </si>
  <si>
    <t>EC (uS/cm)</t>
  </si>
  <si>
    <t>pH</t>
  </si>
  <si>
    <t>Temp.</t>
  </si>
  <si>
    <t>Na</t>
  </si>
  <si>
    <t>K</t>
  </si>
  <si>
    <t>Ca</t>
  </si>
  <si>
    <t>Mg</t>
  </si>
  <si>
    <t>Cl</t>
  </si>
  <si>
    <t>HCO3</t>
  </si>
  <si>
    <t>SO4</t>
  </si>
  <si>
    <t>NO3</t>
  </si>
  <si>
    <t>Total Fe</t>
  </si>
  <si>
    <t>Total Mn</t>
  </si>
  <si>
    <t>Br</t>
  </si>
  <si>
    <t>Matola river</t>
  </si>
  <si>
    <t>SW</t>
  </si>
  <si>
    <t>Lake</t>
  </si>
  <si>
    <t>Incomati effluent</t>
  </si>
  <si>
    <t>Matola wetland</t>
  </si>
  <si>
    <t>65-Incomati</t>
  </si>
  <si>
    <t>SGW</t>
  </si>
  <si>
    <t>PZ21 F</t>
  </si>
  <si>
    <t>PZ19 F</t>
  </si>
  <si>
    <t>PZ20 F</t>
  </si>
  <si>
    <t>PZ02 F</t>
  </si>
  <si>
    <t>PZ18 F</t>
  </si>
  <si>
    <t>Poço tio Mulungu</t>
  </si>
  <si>
    <t>PZ14 C</t>
  </si>
  <si>
    <t>DGW</t>
  </si>
  <si>
    <t>PZ17 C</t>
  </si>
  <si>
    <t>PZ21 C</t>
  </si>
  <si>
    <t>PZ19 C</t>
  </si>
  <si>
    <t>PZ20 C</t>
  </si>
  <si>
    <t>PZ02 C</t>
  </si>
  <si>
    <t>PZ18 C</t>
  </si>
  <si>
    <t>PZ13 C</t>
  </si>
  <si>
    <t>mg/l</t>
  </si>
  <si>
    <t>mmol/l</t>
  </si>
  <si>
    <t>meq/l</t>
  </si>
  <si>
    <t>Atomic and molecular weights (g/mol)</t>
  </si>
  <si>
    <r>
      <t>Na</t>
    </r>
    <r>
      <rPr>
        <vertAlign val="superscript"/>
        <sz val="9"/>
        <rFont val="Arial"/>
        <family val="2"/>
      </rPr>
      <t>+</t>
    </r>
  </si>
  <si>
    <t>Sodium</t>
  </si>
  <si>
    <r>
      <t>Fe</t>
    </r>
    <r>
      <rPr>
        <vertAlign val="superscript"/>
        <sz val="9"/>
        <rFont val="Arial"/>
        <family val="2"/>
      </rPr>
      <t>2+</t>
    </r>
  </si>
  <si>
    <t>Ferrous iron</t>
  </si>
  <si>
    <r>
      <t>K</t>
    </r>
    <r>
      <rPr>
        <vertAlign val="superscript"/>
        <sz val="9"/>
        <rFont val="Arial"/>
        <family val="2"/>
      </rPr>
      <t>+</t>
    </r>
  </si>
  <si>
    <t>Potassium</t>
  </si>
  <si>
    <r>
      <t>Fe</t>
    </r>
    <r>
      <rPr>
        <vertAlign val="superscript"/>
        <sz val="9"/>
        <rFont val="Arial"/>
        <family val="2"/>
      </rPr>
      <t>3+</t>
    </r>
  </si>
  <si>
    <t>Ferric iron</t>
  </si>
  <si>
    <r>
      <t>Ca</t>
    </r>
    <r>
      <rPr>
        <vertAlign val="superscript"/>
        <sz val="9"/>
        <rFont val="Arial"/>
        <family val="2"/>
      </rPr>
      <t>2+</t>
    </r>
  </si>
  <si>
    <t>Calcium</t>
  </si>
  <si>
    <t>Mn</t>
  </si>
  <si>
    <t>Manganese</t>
  </si>
  <si>
    <r>
      <t>Mg</t>
    </r>
    <r>
      <rPr>
        <vertAlign val="superscript"/>
        <sz val="9"/>
        <rFont val="Arial"/>
        <family val="2"/>
      </rPr>
      <t>2+</t>
    </r>
  </si>
  <si>
    <t>Magnesium</t>
  </si>
  <si>
    <r>
      <t>Al</t>
    </r>
    <r>
      <rPr>
        <vertAlign val="superscript"/>
        <sz val="9"/>
        <rFont val="Arial"/>
        <family val="2"/>
      </rPr>
      <t>3+</t>
    </r>
  </si>
  <si>
    <t>Aluminium</t>
  </si>
  <si>
    <r>
      <t>Cl</t>
    </r>
    <r>
      <rPr>
        <vertAlign val="superscript"/>
        <sz val="9"/>
        <rFont val="Arial"/>
        <family val="2"/>
      </rPr>
      <t>-</t>
    </r>
  </si>
  <si>
    <t>Chloride</t>
  </si>
  <si>
    <r>
      <t>NH</t>
    </r>
    <r>
      <rPr>
        <vertAlign val="subscript"/>
        <sz val="9"/>
        <rFont val="Arial"/>
        <family val="2"/>
      </rPr>
      <t>4</t>
    </r>
    <r>
      <rPr>
        <vertAlign val="superscript"/>
        <sz val="9"/>
        <rFont val="Arial"/>
        <family val="2"/>
      </rPr>
      <t>+</t>
    </r>
  </si>
  <si>
    <t>Ammonium</t>
  </si>
  <si>
    <r>
      <t>SO</t>
    </r>
    <r>
      <rPr>
        <vertAlign val="subscript"/>
        <sz val="9"/>
        <rFont val="Arial"/>
        <family val="2"/>
      </rPr>
      <t>4</t>
    </r>
    <r>
      <rPr>
        <vertAlign val="superscript"/>
        <sz val="9"/>
        <rFont val="Arial"/>
        <family val="2"/>
      </rPr>
      <t>2-</t>
    </r>
  </si>
  <si>
    <t>Sulphate</t>
  </si>
  <si>
    <r>
      <t>Cu</t>
    </r>
    <r>
      <rPr>
        <vertAlign val="superscript"/>
        <sz val="9"/>
        <rFont val="Arial"/>
        <family val="2"/>
      </rPr>
      <t>2+</t>
    </r>
  </si>
  <si>
    <t>Copper</t>
  </si>
  <si>
    <r>
      <t>HCO</t>
    </r>
    <r>
      <rPr>
        <vertAlign val="subscript"/>
        <sz val="9"/>
        <rFont val="Arial"/>
        <family val="2"/>
      </rPr>
      <t>3</t>
    </r>
    <r>
      <rPr>
        <vertAlign val="superscript"/>
        <sz val="9"/>
        <rFont val="Arial"/>
        <family val="2"/>
      </rPr>
      <t>-</t>
    </r>
  </si>
  <si>
    <t>Bicarbonate</t>
  </si>
  <si>
    <r>
      <t>Zn</t>
    </r>
    <r>
      <rPr>
        <vertAlign val="superscript"/>
        <sz val="9"/>
        <rFont val="Arial"/>
        <family val="2"/>
      </rPr>
      <t>2+</t>
    </r>
  </si>
  <si>
    <t>Zinc</t>
  </si>
  <si>
    <r>
      <t>NO</t>
    </r>
    <r>
      <rPr>
        <vertAlign val="subscript"/>
        <sz val="9"/>
        <rFont val="Arial"/>
        <family val="2"/>
      </rPr>
      <t>3</t>
    </r>
    <r>
      <rPr>
        <vertAlign val="superscript"/>
        <sz val="9"/>
        <rFont val="Arial"/>
        <family val="2"/>
      </rPr>
      <t>-</t>
    </r>
  </si>
  <si>
    <t>Nitrate</t>
  </si>
  <si>
    <r>
      <t>PO</t>
    </r>
    <r>
      <rPr>
        <vertAlign val="subscript"/>
        <sz val="9"/>
        <rFont val="Arial"/>
        <family val="2"/>
      </rPr>
      <t>4</t>
    </r>
    <r>
      <rPr>
        <vertAlign val="superscript"/>
        <sz val="9"/>
        <rFont val="Arial"/>
        <family val="2"/>
      </rPr>
      <t>3-</t>
    </r>
  </si>
  <si>
    <t>Phosphate</t>
  </si>
  <si>
    <t>Si</t>
  </si>
  <si>
    <t>Silicon</t>
  </si>
  <si>
    <r>
      <t>NO</t>
    </r>
    <r>
      <rPr>
        <vertAlign val="subscript"/>
        <sz val="9"/>
        <rFont val="Arial"/>
        <family val="2"/>
      </rPr>
      <t>2</t>
    </r>
    <r>
      <rPr>
        <vertAlign val="superscript"/>
        <sz val="9"/>
        <rFont val="Arial"/>
        <family val="2"/>
      </rPr>
      <t>-</t>
    </r>
  </si>
  <si>
    <t>Nitrite</t>
  </si>
  <si>
    <r>
      <t>SiO</t>
    </r>
    <r>
      <rPr>
        <vertAlign val="subscript"/>
        <sz val="9"/>
        <rFont val="Arial"/>
        <family val="2"/>
      </rPr>
      <t>2</t>
    </r>
  </si>
  <si>
    <t>Silica</t>
  </si>
  <si>
    <r>
      <t>F</t>
    </r>
    <r>
      <rPr>
        <vertAlign val="superscript"/>
        <sz val="9"/>
        <rFont val="Arial"/>
        <family val="2"/>
      </rPr>
      <t>-</t>
    </r>
  </si>
  <si>
    <t>Fluoride</t>
  </si>
  <si>
    <r>
      <t>H</t>
    </r>
    <r>
      <rPr>
        <vertAlign val="subscript"/>
        <sz val="9"/>
        <rFont val="Arial"/>
        <family val="2"/>
      </rPr>
      <t>2</t>
    </r>
    <r>
      <rPr>
        <sz val="9"/>
        <rFont val="Arial"/>
        <family val="2"/>
      </rPr>
      <t>O</t>
    </r>
  </si>
  <si>
    <t>Water</t>
  </si>
  <si>
    <r>
      <t>Br</t>
    </r>
    <r>
      <rPr>
        <vertAlign val="superscript"/>
        <sz val="9"/>
        <rFont val="Arial"/>
        <family val="2"/>
      </rPr>
      <t>-</t>
    </r>
  </si>
  <si>
    <t>Bromide</t>
  </si>
  <si>
    <r>
      <t>CaCO</t>
    </r>
    <r>
      <rPr>
        <vertAlign val="subscript"/>
        <sz val="9"/>
        <rFont val="Arial"/>
        <family val="2"/>
      </rPr>
      <t>3</t>
    </r>
  </si>
  <si>
    <t>Calcite</t>
  </si>
  <si>
    <r>
      <t>Sr</t>
    </r>
    <r>
      <rPr>
        <vertAlign val="superscript"/>
        <sz val="9"/>
        <rFont val="Arial"/>
        <family val="2"/>
      </rPr>
      <t>2+</t>
    </r>
  </si>
  <si>
    <t>Strontium</t>
  </si>
  <si>
    <r>
      <t>CO</t>
    </r>
    <r>
      <rPr>
        <vertAlign val="subscript"/>
        <sz val="9"/>
        <rFont val="Arial"/>
        <family val="2"/>
      </rPr>
      <t>3</t>
    </r>
    <r>
      <rPr>
        <vertAlign val="superscript"/>
        <sz val="9"/>
        <rFont val="Arial"/>
        <family val="2"/>
      </rPr>
      <t>2-</t>
    </r>
  </si>
  <si>
    <t>Carbonate</t>
  </si>
  <si>
    <t>Pb</t>
  </si>
  <si>
    <t>Lead</t>
  </si>
  <si>
    <t>Hardness</t>
  </si>
  <si>
    <t>ºF</t>
  </si>
  <si>
    <t>ºG</t>
  </si>
  <si>
    <t>mg/l CaCO3</t>
  </si>
  <si>
    <t>mmol/l (Ca+Mg)</t>
  </si>
  <si>
    <t>Av. Seaw. Comp. (mmol/l)</t>
  </si>
  <si>
    <t>Seawater 
Cl ratios</t>
  </si>
  <si>
    <t>NH4</t>
  </si>
  <si>
    <t>1b)</t>
  </si>
  <si>
    <t>The concentration of bicarbonate is relatively low, and bicarbonate is not stable. Under acidic conditions, bicarbonate is easy to react with hydrogen ions to form unstable carbonic acid, which then volatiles as carbon dioxide. In the alkaline enviroment, the bicarbonate is easy to react with hydroxide ions to form carbonate.</t>
  </si>
  <si>
    <t>1c)</t>
  </si>
  <si>
    <t>The assumption which I make is that sum of all positive and negative charges in water is zero, which means the electrical balance is in equilibrium state.</t>
  </si>
  <si>
    <t>EB</t>
  </si>
  <si>
    <t>cations</t>
  </si>
  <si>
    <t>anions</t>
  </si>
  <si>
    <t>%</t>
  </si>
  <si>
    <t>1d)</t>
  </si>
  <si>
    <t>EC/100</t>
  </si>
  <si>
    <t>1e)</t>
  </si>
  <si>
    <t>1f)</t>
  </si>
  <si>
    <t>Sample 66: cations too low Sodium is recommended to repeat.</t>
  </si>
  <si>
    <t>Sample 14: anions too low Chloride and Sulphate are recommended to repeat</t>
  </si>
  <si>
    <t>Sample 60: anions too low Chloride and Sulphate are recommended to repeat</t>
  </si>
  <si>
    <t>Sample 31: cations too low calcium and magnesium are recommended to repeat</t>
  </si>
  <si>
    <t>Cl/(EC/100)</t>
  </si>
  <si>
    <t>HCO3/(EC/100)</t>
  </si>
  <si>
    <t>1g)</t>
  </si>
  <si>
    <t>MIX</t>
  </si>
  <si>
    <t>3a)</t>
  </si>
  <si>
    <t>There are two assumptions we make to consider these samples to have Cl- concentrations of average rainwater.</t>
  </si>
  <si>
    <t>First one is that the origin of recharge water in these three places is only precipitation, no including other sources.</t>
  </si>
  <si>
    <t xml:space="preserve">Second one is that Cl- is considered conservative, because its concentration is not altered by other hydrochemical processes
</t>
  </si>
  <si>
    <t>3b)</t>
  </si>
  <si>
    <t>Cl(mmol/l)</t>
  </si>
  <si>
    <t>Recharge(% of rainfall)</t>
  </si>
  <si>
    <t>Mean</t>
  </si>
  <si>
    <t>Median</t>
  </si>
  <si>
    <t>Minimum</t>
  </si>
  <si>
    <t>Maximum</t>
  </si>
  <si>
    <t>3c)</t>
  </si>
  <si>
    <t>concentration factor</t>
  </si>
  <si>
    <t>TOTAL</t>
  </si>
  <si>
    <t>Rainfall</t>
  </si>
  <si>
    <t>Rainwater</t>
  </si>
  <si>
    <t>Other resource</t>
  </si>
  <si>
    <t>It is not realistic.</t>
  </si>
  <si>
    <t>Soggestion: sampling the rainfall directly and using the measurment values of raifall water in stead of the value from surface or groundwater. The accuracy will be improved by this suggsetion way</t>
  </si>
  <si>
    <t>5a)</t>
  </si>
  <si>
    <t>5b)</t>
  </si>
  <si>
    <t>seawater mixing line</t>
  </si>
  <si>
    <t>5c)</t>
  </si>
  <si>
    <r>
      <t>The </t>
    </r>
    <r>
      <rPr>
        <b/>
        <sz val="10"/>
        <color rgb="FFFF0000"/>
        <rFont val="Arial"/>
        <family val="2"/>
      </rPr>
      <t>most reduced</t>
    </r>
    <r>
      <rPr>
        <sz val="10"/>
        <color rgb="FFFF0000"/>
        <rFont val="Arial"/>
        <family val="2"/>
      </rPr>
      <t> form of carbon is CH4, the </t>
    </r>
    <r>
      <rPr>
        <b/>
        <sz val="10"/>
        <color rgb="FFFF0000"/>
        <rFont val="Arial"/>
        <family val="2"/>
      </rPr>
      <t>most</t>
    </r>
    <r>
      <rPr>
        <sz val="10"/>
        <color rgb="FFFF0000"/>
        <rFont val="Arial"/>
        <family val="2"/>
      </rPr>
      <t> oxidized is CO2.</t>
    </r>
  </si>
  <si>
    <t>from Google</t>
  </si>
  <si>
    <t>more reduced state: 27, 31, 26, 60 with more Fe2+</t>
  </si>
  <si>
    <t>more oxidized state: 14, 61,58, 67 with more SO42- and NO3-</t>
  </si>
  <si>
    <t>explanation:</t>
  </si>
  <si>
    <t>27 and 31: they are deep groundwater, so they are lack of oxygen and oxidizing agent , long time to react</t>
  </si>
  <si>
    <t>60: recharge area, origin is precipitation, which is long exposure to air. SO it keeps the more reduced state</t>
  </si>
  <si>
    <t>26: I don’t know where the 26point is .</t>
  </si>
  <si>
    <t>6a)</t>
  </si>
  <si>
    <t>Cl-</t>
  </si>
  <si>
    <t>fresh water</t>
  </si>
  <si>
    <t>sample</t>
  </si>
  <si>
    <t>sea Cl</t>
  </si>
  <si>
    <t>fraction(%)</t>
  </si>
  <si>
    <t>Na+</t>
  </si>
  <si>
    <t>ratio Na+/Cl-</t>
  </si>
  <si>
    <t>Ca2+</t>
  </si>
  <si>
    <t>HCO3-</t>
  </si>
  <si>
    <t>ratio Ca2+/HCO3-</t>
  </si>
  <si>
    <t>6b)</t>
  </si>
  <si>
    <t>SO42-</t>
  </si>
  <si>
    <t>seawater</t>
  </si>
  <si>
    <t>6c)</t>
  </si>
  <si>
    <t>no react</t>
  </si>
  <si>
    <t>actual</t>
  </si>
  <si>
    <t>diff</t>
  </si>
  <si>
    <t>6d)</t>
  </si>
  <si>
    <t>6e)</t>
  </si>
  <si>
    <t>6f)</t>
  </si>
  <si>
    <t>from 6c we can get the difference of Na+ between actual situation and ideal situation is negative, while the difference of Ca2+ is positive.</t>
  </si>
  <si>
    <t>from 6d, we can see that with the actual concentration of Cl- increasing the concentration of Na is much less than the ideal seawater mixing line. It means some of Na+ from the seawater intrusion disappear.</t>
  </si>
  <si>
    <t>the figure 6e also can give the same information as the other two figures.</t>
  </si>
  <si>
    <t>the reason of this phenomena is the cation exchange, the reaction equation is as follows.</t>
  </si>
  <si>
    <t>2Na++Ca-X2----&gt;Ca2=+2Na-X</t>
  </si>
  <si>
    <t>4a)</t>
  </si>
  <si>
    <t>Temp</t>
  </si>
  <si>
    <t>Alkalinity</t>
  </si>
  <si>
    <t>S(6)</t>
  </si>
  <si>
    <t>N(5)</t>
  </si>
  <si>
    <t>Fe</t>
  </si>
  <si>
    <t>as HCO3</t>
  </si>
  <si>
    <t>as SO4</t>
  </si>
  <si>
    <t>as NO3</t>
  </si>
  <si>
    <t>INPUT</t>
  </si>
  <si>
    <t>OUTPUT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</si>
</sst>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dd/mm/yy;@"/>
    <numFmt numFmtId="166" formatCode="0.00000"/>
    <numFmt numFmtId="167" formatCode="0.000"/>
    <numFmt numFmtId="168" formatCode="0.0000"/>
  </numFmts>
  <fonts count="12" x14ac:knownFonts="1">
    <font>
      <sz val="11"/>
      <color theme="1"/>
      <name val="Calibri"/>
      <family val="2"/>
      <scheme val="minor"/>
    </font>
    <font>
      <b/>
      <sz val="9"/>
      <name val="Arial"/>
      <family val="2"/>
    </font>
    <font>
      <sz val="9"/>
      <name val="Arial"/>
      <family val="2"/>
    </font>
    <font>
      <i/>
      <sz val="9"/>
      <name val="Arial"/>
      <family val="2"/>
    </font>
    <font>
      <vertAlign val="superscript"/>
      <sz val="9"/>
      <name val="Arial"/>
      <family val="2"/>
    </font>
    <font>
      <vertAlign val="subscript"/>
      <sz val="9"/>
      <name val="Arial"/>
      <family val="2"/>
    </font>
    <font>
      <sz val="9"/>
      <color rgb="FFFF0000"/>
      <name val="Arial"/>
      <family val="2"/>
    </font>
    <font>
      <sz val="11"/>
      <color rgb="FFFF0000"/>
      <name val="Calibri"/>
      <family val="2"/>
      <scheme val="minor"/>
    </font>
    <font>
      <sz val="11"/>
      <name val="Calibri"/>
      <family val="2"/>
      <scheme val="minor"/>
    </font>
    <font>
      <b/>
      <sz val="11"/>
      <color theme="1"/>
      <name val="Calibri"/>
      <family val="2"/>
      <scheme val="minor"/>
    </font>
    <font>
      <sz val="10"/>
      <color rgb="FFFF0000"/>
      <name val="Arial"/>
      <family val="2"/>
    </font>
    <font>
      <b/>
      <sz val="10"/>
      <color rgb="FFFF0000"/>
      <name val="Arial"/>
      <family val="2"/>
    </font>
  </fonts>
  <fills count="8">
    <fill>
      <patternFill patternType="none"/>
    </fill>
    <fill>
      <patternFill patternType="gray125"/>
    </fill>
    <fill>
      <patternFill patternType="solid">
        <fgColor theme="0"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8">
    <xf numFmtId="0" fontId="0" fillId="0" borderId="0" xfId="0"/>
    <xf numFmtId="0" fontId="1" fillId="0" borderId="0" xfId="0" applyFont="1" applyFill="1" applyBorder="1" applyAlignment="1">
      <alignment horizontal="left"/>
    </xf>
    <xf numFmtId="0" fontId="1" fillId="0" borderId="0" xfId="0" applyFont="1" applyFill="1" applyBorder="1" applyAlignment="1"/>
    <xf numFmtId="164" fontId="1" fillId="0" borderId="0" xfId="0" applyNumberFormat="1" applyFont="1" applyFill="1" applyBorder="1" applyAlignment="1">
      <alignment horizontal="right"/>
    </xf>
    <xf numFmtId="0" fontId="1" fillId="0" borderId="0" xfId="0" applyFont="1" applyFill="1" applyBorder="1" applyAlignment="1">
      <alignment horizontal="right"/>
    </xf>
    <xf numFmtId="165" fontId="1" fillId="0" borderId="0" xfId="0" applyNumberFormat="1" applyFont="1" applyFill="1" applyBorder="1" applyAlignment="1">
      <alignment horizontal="right"/>
    </xf>
    <xf numFmtId="0" fontId="1" fillId="0" borderId="0" xfId="0" applyFont="1" applyAlignment="1">
      <alignment horizontal="right"/>
    </xf>
    <xf numFmtId="0" fontId="2" fillId="0" borderId="0" xfId="0" applyFont="1" applyFill="1" applyBorder="1" applyAlignment="1"/>
    <xf numFmtId="0" fontId="2" fillId="0" borderId="0" xfId="0" applyFont="1" applyFill="1" applyBorder="1" applyAlignment="1">
      <alignment horizontal="left"/>
    </xf>
    <xf numFmtId="164" fontId="2" fillId="0" borderId="0" xfId="0" applyNumberFormat="1" applyFont="1" applyFill="1" applyBorder="1" applyAlignment="1"/>
    <xf numFmtId="165" fontId="2" fillId="0" borderId="0" xfId="0" applyNumberFormat="1" applyFont="1" applyFill="1" applyBorder="1" applyAlignment="1"/>
    <xf numFmtId="2" fontId="2" fillId="0" borderId="0" xfId="0" applyNumberFormat="1" applyFont="1" applyFill="1" applyBorder="1" applyAlignment="1"/>
    <xf numFmtId="166" fontId="2" fillId="0" borderId="0" xfId="0" applyNumberFormat="1" applyFont="1"/>
    <xf numFmtId="164" fontId="2" fillId="2" borderId="0" xfId="0" applyNumberFormat="1" applyFont="1" applyFill="1" applyBorder="1" applyAlignment="1"/>
    <xf numFmtId="0" fontId="3" fillId="0" borderId="0" xfId="0" applyFont="1" applyFill="1" applyBorder="1" applyAlignment="1"/>
    <xf numFmtId="0" fontId="3" fillId="0" borderId="0" xfId="0" applyFont="1"/>
    <xf numFmtId="0" fontId="2" fillId="0" borderId="0" xfId="0" applyFont="1"/>
    <xf numFmtId="0" fontId="1" fillId="0" borderId="0" xfId="0" applyFont="1" applyFill="1" applyBorder="1" applyAlignment="1">
      <alignment horizontal="center"/>
    </xf>
    <xf numFmtId="0" fontId="1" fillId="3" borderId="0" xfId="0" applyFont="1" applyFill="1" applyBorder="1"/>
    <xf numFmtId="0" fontId="2" fillId="3" borderId="0" xfId="0" applyFont="1" applyFill="1" applyBorder="1"/>
    <xf numFmtId="0" fontId="2" fillId="3" borderId="0" xfId="0" applyFont="1" applyFill="1" applyBorder="1" applyAlignment="1">
      <alignment horizontal="left"/>
    </xf>
    <xf numFmtId="167" fontId="2" fillId="3" borderId="0" xfId="0" applyNumberFormat="1" applyFont="1" applyFill="1" applyBorder="1" applyAlignment="1">
      <alignment horizontal="right"/>
    </xf>
    <xf numFmtId="0" fontId="2" fillId="0" borderId="0" xfId="0" applyNumberFormat="1" applyFont="1" applyBorder="1" applyAlignment="1">
      <alignment horizontal="left" vertical="center"/>
    </xf>
    <xf numFmtId="0" fontId="2" fillId="0" borderId="0" xfId="0" applyFont="1" applyBorder="1"/>
    <xf numFmtId="0" fontId="2" fillId="0" borderId="0" xfId="0" applyFont="1" applyFill="1" applyBorder="1"/>
    <xf numFmtId="0" fontId="2" fillId="4" borderId="0" xfId="0" applyFont="1" applyFill="1" applyBorder="1" applyAlignment="1">
      <alignment horizontal="right"/>
    </xf>
    <xf numFmtId="0" fontId="2" fillId="4" borderId="0" xfId="0" applyFont="1" applyFill="1" applyAlignment="1">
      <alignment horizontal="right"/>
    </xf>
    <xf numFmtId="0" fontId="1" fillId="4" borderId="0" xfId="0" applyFont="1" applyFill="1" applyBorder="1"/>
    <xf numFmtId="2" fontId="2" fillId="4" borderId="0" xfId="0" applyNumberFormat="1" applyFont="1" applyFill="1" applyBorder="1"/>
    <xf numFmtId="0" fontId="2" fillId="4" borderId="0" xfId="0" applyFont="1" applyFill="1" applyBorder="1"/>
    <xf numFmtId="167" fontId="2" fillId="4" borderId="0" xfId="0" applyNumberFormat="1" applyFont="1" applyFill="1"/>
    <xf numFmtId="1" fontId="2" fillId="4" borderId="0" xfId="0" applyNumberFormat="1" applyFont="1" applyFill="1" applyBorder="1"/>
    <xf numFmtId="164" fontId="2" fillId="4" borderId="0" xfId="0" applyNumberFormat="1" applyFont="1" applyFill="1" applyBorder="1"/>
    <xf numFmtId="0" fontId="1" fillId="4" borderId="0" xfId="0" applyFont="1" applyFill="1"/>
    <xf numFmtId="168" fontId="2" fillId="0" borderId="0" xfId="0" applyNumberFormat="1" applyFont="1" applyBorder="1"/>
    <xf numFmtId="2" fontId="2" fillId="0" borderId="0" xfId="0" applyNumberFormat="1" applyFont="1" applyBorder="1" applyAlignment="1">
      <alignment horizontal="right"/>
    </xf>
    <xf numFmtId="0" fontId="2" fillId="5" borderId="0" xfId="0" applyFont="1" applyFill="1" applyBorder="1"/>
    <xf numFmtId="0" fontId="1" fillId="5" borderId="0" xfId="0" applyFont="1" applyFill="1" applyBorder="1" applyAlignment="1">
      <alignment horizontal="right" wrapText="1"/>
    </xf>
    <xf numFmtId="0" fontId="1" fillId="5" borderId="0" xfId="0" applyFont="1" applyFill="1" applyBorder="1" applyAlignment="1">
      <alignment horizontal="right" vertical="top" wrapText="1"/>
    </xf>
    <xf numFmtId="167" fontId="2" fillId="5" borderId="0" xfId="0" applyNumberFormat="1" applyFont="1" applyFill="1" applyBorder="1"/>
    <xf numFmtId="167" fontId="2" fillId="0" borderId="0" xfId="0" applyNumberFormat="1" applyFont="1" applyBorder="1"/>
    <xf numFmtId="11" fontId="2" fillId="5" borderId="0" xfId="0" applyNumberFormat="1" applyFont="1" applyFill="1" applyBorder="1"/>
    <xf numFmtId="11" fontId="2" fillId="0" borderId="0" xfId="0" applyNumberFormat="1" applyFont="1" applyBorder="1"/>
    <xf numFmtId="0" fontId="2" fillId="0" borderId="0" xfId="0" applyFont="1" applyBorder="1" applyAlignment="1">
      <alignment horizontal="right"/>
    </xf>
    <xf numFmtId="168" fontId="2" fillId="5" borderId="0" xfId="0" applyNumberFormat="1" applyFont="1" applyFill="1" applyBorder="1"/>
    <xf numFmtId="166" fontId="2" fillId="0" borderId="0" xfId="0" applyNumberFormat="1" applyFont="1" applyFill="1" applyBorder="1" applyAlignment="1"/>
    <xf numFmtId="164" fontId="2" fillId="6" borderId="0" xfId="0" applyNumberFormat="1" applyFont="1" applyFill="1" applyBorder="1" applyAlignment="1"/>
    <xf numFmtId="164" fontId="6" fillId="6" borderId="0" xfId="0" applyNumberFormat="1" applyFont="1" applyFill="1" applyBorder="1" applyAlignment="1"/>
    <xf numFmtId="0" fontId="7" fillId="0" borderId="0" xfId="0" applyFont="1"/>
    <xf numFmtId="0" fontId="8" fillId="0" borderId="0" xfId="0" applyFont="1"/>
    <xf numFmtId="0" fontId="0" fillId="0" borderId="0" xfId="0" applyAlignment="1"/>
    <xf numFmtId="2" fontId="0" fillId="0" borderId="0" xfId="0" applyNumberFormat="1"/>
    <xf numFmtId="0" fontId="9" fillId="0" borderId="0" xfId="0" applyFont="1"/>
    <xf numFmtId="0" fontId="10" fillId="0" borderId="0" xfId="0" applyFont="1"/>
    <xf numFmtId="0" fontId="0" fillId="7" borderId="0" xfId="0" applyFill="1"/>
    <xf numFmtId="11" fontId="0" fillId="0" borderId="0" xfId="0" applyNumberFormat="1"/>
    <xf numFmtId="0" fontId="1" fillId="4" borderId="0" xfId="0" applyFont="1" applyFill="1" applyBorder="1" applyAlignment="1">
      <alignment horizontal="left"/>
    </xf>
    <xf numFmtId="0" fontId="1" fillId="0" borderId="0" xfId="0" applyFont="1" applyFill="1" applyBorder="1" applyAlignment="1">
      <alignment horizontal="center"/>
    </xf>
  </cellXfs>
  <cellStyles count="1">
    <cellStyle name="Normal" xfId="0" builtinId="0"/>
  </cellStyles>
  <dxfs count="24">
    <dxf>
      <fill>
        <patternFill>
          <bgColor indexed="10"/>
        </patternFill>
      </fill>
    </dxf>
    <dxf>
      <fill>
        <patternFill>
          <bgColor rgb="FFFF0000"/>
        </patternFill>
      </fill>
    </dxf>
    <dxf>
      <fill>
        <patternFill>
          <bgColor indexed="10"/>
        </patternFill>
      </fill>
    </dxf>
    <dxf>
      <fill>
        <patternFill>
          <bgColor indexed="10"/>
        </patternFill>
      </fill>
    </dxf>
    <dxf>
      <fill>
        <patternFill>
          <bgColor indexed="10"/>
        </patternFill>
      </fill>
    </dxf>
    <dxf>
      <fill>
        <patternFill>
          <bgColor rgb="FFFF0000"/>
        </patternFill>
      </fill>
    </dxf>
    <dxf>
      <fill>
        <patternFill>
          <bgColor indexed="10"/>
        </patternFill>
      </fill>
    </dxf>
    <dxf>
      <fill>
        <patternFill>
          <bgColor rgb="FFFF0000"/>
        </patternFill>
      </fill>
    </dxf>
    <dxf>
      <fill>
        <patternFill>
          <bgColor indexed="10"/>
        </patternFill>
      </fill>
    </dxf>
    <dxf>
      <fill>
        <patternFill>
          <bgColor indexed="10"/>
        </patternFill>
      </fill>
    </dxf>
    <dxf>
      <fill>
        <patternFill>
          <bgColor rgb="FFFF0000"/>
        </patternFill>
      </fill>
    </dxf>
    <dxf>
      <fill>
        <patternFill>
          <bgColor indexed="10"/>
        </patternFill>
      </fill>
    </dxf>
    <dxf>
      <fill>
        <patternFill>
          <bgColor indexed="10"/>
        </patternFill>
      </fill>
    </dxf>
    <dxf>
      <fill>
        <patternFill>
          <bgColor rgb="FFFF0000"/>
        </patternFill>
      </fill>
    </dxf>
    <dxf>
      <fill>
        <patternFill>
          <bgColor rgb="FFFF0000"/>
        </patternFill>
      </fill>
    </dxf>
    <dxf>
      <fill>
        <patternFill>
          <bgColor indexed="10"/>
        </patternFill>
      </fill>
    </dxf>
    <dxf>
      <fill>
        <patternFill>
          <bgColor rgb="FFFF0000"/>
        </patternFill>
      </fill>
    </dxf>
    <dxf>
      <fill>
        <patternFill>
          <bgColor indexed="10"/>
        </patternFill>
      </fill>
    </dxf>
    <dxf>
      <fill>
        <patternFill>
          <bgColor indexed="10"/>
        </patternFill>
      </fill>
    </dxf>
    <dxf>
      <fill>
        <patternFill>
          <bgColor rgb="FFFF0000"/>
        </patternFill>
      </fill>
    </dxf>
    <dxf>
      <fill>
        <patternFill>
          <bgColor indexed="10"/>
        </patternFill>
      </fill>
    </dxf>
    <dxf>
      <fill>
        <patternFill>
          <bgColor rgb="FFFF0000"/>
        </patternFill>
      </fill>
    </dxf>
    <dxf>
      <fill>
        <patternFill>
          <bgColor indexed="10"/>
        </patternFill>
      </fill>
    </dxf>
    <dxf>
      <fill>
        <patternFill>
          <bgColor indexed="1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2"/>
          <c:order val="2"/>
          <c:tx>
            <c:v>standard line</c:v>
          </c:tx>
          <c:spPr>
            <a:ln w="19050" cap="rnd">
              <a:solidFill>
                <a:schemeClr val="accent3"/>
              </a:solidFill>
              <a:round/>
            </a:ln>
            <a:effectLst/>
          </c:spPr>
          <c:marker>
            <c:symbol val="none"/>
          </c:marker>
          <c:xVal>
            <c:numRef>
              <c:f>'Unit conversion'!$AM$34:$AM$35</c:f>
              <c:numCache>
                <c:formatCode>General</c:formatCode>
                <c:ptCount val="2"/>
                <c:pt idx="0">
                  <c:v>0</c:v>
                </c:pt>
                <c:pt idx="1">
                  <c:v>200</c:v>
                </c:pt>
              </c:numCache>
            </c:numRef>
          </c:xVal>
          <c:yVal>
            <c:numRef>
              <c:f>'Unit conversion'!$AN$34:$AN$35</c:f>
              <c:numCache>
                <c:formatCode>General</c:formatCode>
                <c:ptCount val="2"/>
                <c:pt idx="0">
                  <c:v>0</c:v>
                </c:pt>
                <c:pt idx="1">
                  <c:v>200</c:v>
                </c:pt>
              </c:numCache>
            </c:numRef>
          </c:yVal>
          <c:smooth val="1"/>
        </c:ser>
        <c:dLbls>
          <c:showLegendKey val="0"/>
          <c:showVal val="0"/>
          <c:showCatName val="0"/>
          <c:showSerName val="0"/>
          <c:showPercent val="0"/>
          <c:showBubbleSize val="0"/>
        </c:dLbls>
        <c:axId val="358623696"/>
        <c:axId val="358625656"/>
      </c:scatterChart>
      <c:scatterChart>
        <c:scatterStyle val="lineMarker"/>
        <c:varyColors val="0"/>
        <c:ser>
          <c:idx val="0"/>
          <c:order val="0"/>
          <c:tx>
            <c:strRef>
              <c:f>'Unit conversion'!$AJ$1</c:f>
              <c:strCache>
                <c:ptCount val="1"/>
                <c:pt idx="0">
                  <c:v>cations</c:v>
                </c:pt>
              </c:strCache>
            </c:strRef>
          </c:tx>
          <c:spPr>
            <a:ln w="28575" cap="rnd">
              <a:noFill/>
              <a:round/>
            </a:ln>
            <a:effectLst/>
          </c:spPr>
          <c:marker>
            <c:symbol val="circle"/>
            <c:size val="5"/>
            <c:spPr>
              <a:solidFill>
                <a:schemeClr val="accent1"/>
              </a:solidFill>
              <a:ln w="9525">
                <a:solidFill>
                  <a:schemeClr val="accent1"/>
                </a:solidFill>
              </a:ln>
              <a:effectLst/>
            </c:spPr>
          </c:marker>
          <c:xVal>
            <c:numRef>
              <c:f>'Unit conversion'!$AO$3:$AO$23</c:f>
              <c:numCache>
                <c:formatCode>General</c:formatCode>
                <c:ptCount val="21"/>
                <c:pt idx="0">
                  <c:v>176.8</c:v>
                </c:pt>
                <c:pt idx="1">
                  <c:v>2.7</c:v>
                </c:pt>
                <c:pt idx="2">
                  <c:v>5.37</c:v>
                </c:pt>
                <c:pt idx="3">
                  <c:v>147</c:v>
                </c:pt>
                <c:pt idx="4">
                  <c:v>8.08</c:v>
                </c:pt>
                <c:pt idx="5">
                  <c:v>7.71</c:v>
                </c:pt>
                <c:pt idx="6">
                  <c:v>8.24</c:v>
                </c:pt>
                <c:pt idx="7">
                  <c:v>4.42</c:v>
                </c:pt>
                <c:pt idx="8">
                  <c:v>2.2000000000000002</c:v>
                </c:pt>
                <c:pt idx="9">
                  <c:v>0.53700000000000003</c:v>
                </c:pt>
                <c:pt idx="10">
                  <c:v>27.1</c:v>
                </c:pt>
                <c:pt idx="11">
                  <c:v>6.79</c:v>
                </c:pt>
                <c:pt idx="12">
                  <c:v>10.050000000000001</c:v>
                </c:pt>
                <c:pt idx="13">
                  <c:v>92</c:v>
                </c:pt>
                <c:pt idx="14">
                  <c:v>30.2</c:v>
                </c:pt>
                <c:pt idx="15">
                  <c:v>1.1830000000000001</c:v>
                </c:pt>
                <c:pt idx="16">
                  <c:v>1.625</c:v>
                </c:pt>
                <c:pt idx="17">
                  <c:v>2</c:v>
                </c:pt>
                <c:pt idx="18">
                  <c:v>12.3</c:v>
                </c:pt>
                <c:pt idx="19">
                  <c:v>11.82</c:v>
                </c:pt>
                <c:pt idx="20">
                  <c:v>39</c:v>
                </c:pt>
              </c:numCache>
            </c:numRef>
          </c:xVal>
          <c:yVal>
            <c:numRef>
              <c:f>'Unit conversion'!$AJ$3:$AJ$23</c:f>
              <c:numCache>
                <c:formatCode>0.00000</c:formatCode>
                <c:ptCount val="21"/>
                <c:pt idx="0">
                  <c:v>196.6764643038737</c:v>
                </c:pt>
                <c:pt idx="1">
                  <c:v>2.6319689280445395</c:v>
                </c:pt>
                <c:pt idx="2">
                  <c:v>3.1093264761753074</c:v>
                </c:pt>
                <c:pt idx="3">
                  <c:v>157.96482976122067</c:v>
                </c:pt>
                <c:pt idx="4">
                  <c:v>7.2674149063093116</c:v>
                </c:pt>
                <c:pt idx="5">
                  <c:v>7.2463672128347962</c:v>
                </c:pt>
                <c:pt idx="6">
                  <c:v>7.5193861445596824</c:v>
                </c:pt>
                <c:pt idx="7">
                  <c:v>3.8452054200344579</c:v>
                </c:pt>
                <c:pt idx="8">
                  <c:v>1.6748001516080151</c:v>
                </c:pt>
                <c:pt idx="9">
                  <c:v>0.39507967489647156</c:v>
                </c:pt>
                <c:pt idx="10">
                  <c:v>21.977705882449509</c:v>
                </c:pt>
                <c:pt idx="11">
                  <c:v>6.7516129539929706</c:v>
                </c:pt>
                <c:pt idx="12">
                  <c:v>8.9932042677396886</c:v>
                </c:pt>
                <c:pt idx="13">
                  <c:v>90.382142188293187</c:v>
                </c:pt>
                <c:pt idx="14">
                  <c:v>24.955048573087318</c:v>
                </c:pt>
                <c:pt idx="15">
                  <c:v>1.130959212279105</c:v>
                </c:pt>
                <c:pt idx="16">
                  <c:v>1.2894462262245949</c:v>
                </c:pt>
                <c:pt idx="17">
                  <c:v>1.7030534563678725</c:v>
                </c:pt>
                <c:pt idx="18">
                  <c:v>11.234418161952966</c:v>
                </c:pt>
                <c:pt idx="19">
                  <c:v>11.371994453736836</c:v>
                </c:pt>
                <c:pt idx="20">
                  <c:v>34.201681425809603</c:v>
                </c:pt>
              </c:numCache>
            </c:numRef>
          </c:yVal>
          <c:smooth val="0"/>
        </c:ser>
        <c:ser>
          <c:idx val="1"/>
          <c:order val="1"/>
          <c:tx>
            <c:strRef>
              <c:f>'Unit conversion'!$AK$1</c:f>
              <c:strCache>
                <c:ptCount val="1"/>
                <c:pt idx="0">
                  <c:v>anions</c:v>
                </c:pt>
              </c:strCache>
            </c:strRef>
          </c:tx>
          <c:spPr>
            <a:ln w="25400" cap="rnd">
              <a:noFill/>
              <a:round/>
            </a:ln>
            <a:effectLst/>
          </c:spPr>
          <c:marker>
            <c:symbol val="circle"/>
            <c:size val="5"/>
            <c:spPr>
              <a:solidFill>
                <a:schemeClr val="accent2"/>
              </a:solidFill>
              <a:ln w="9525">
                <a:solidFill>
                  <a:schemeClr val="accent2"/>
                </a:solidFill>
              </a:ln>
              <a:effectLst/>
            </c:spPr>
          </c:marker>
          <c:xVal>
            <c:numRef>
              <c:f>'Unit conversion'!$AO$3:$AO$23</c:f>
              <c:numCache>
                <c:formatCode>General</c:formatCode>
                <c:ptCount val="21"/>
                <c:pt idx="0">
                  <c:v>176.8</c:v>
                </c:pt>
                <c:pt idx="1">
                  <c:v>2.7</c:v>
                </c:pt>
                <c:pt idx="2">
                  <c:v>5.37</c:v>
                </c:pt>
                <c:pt idx="3">
                  <c:v>147</c:v>
                </c:pt>
                <c:pt idx="4">
                  <c:v>8.08</c:v>
                </c:pt>
                <c:pt idx="5">
                  <c:v>7.71</c:v>
                </c:pt>
                <c:pt idx="6">
                  <c:v>8.24</c:v>
                </c:pt>
                <c:pt idx="7">
                  <c:v>4.42</c:v>
                </c:pt>
                <c:pt idx="8">
                  <c:v>2.2000000000000002</c:v>
                </c:pt>
                <c:pt idx="9">
                  <c:v>0.53700000000000003</c:v>
                </c:pt>
                <c:pt idx="10">
                  <c:v>27.1</c:v>
                </c:pt>
                <c:pt idx="11">
                  <c:v>6.79</c:v>
                </c:pt>
                <c:pt idx="12">
                  <c:v>10.050000000000001</c:v>
                </c:pt>
                <c:pt idx="13">
                  <c:v>92</c:v>
                </c:pt>
                <c:pt idx="14">
                  <c:v>30.2</c:v>
                </c:pt>
                <c:pt idx="15">
                  <c:v>1.1830000000000001</c:v>
                </c:pt>
                <c:pt idx="16">
                  <c:v>1.625</c:v>
                </c:pt>
                <c:pt idx="17">
                  <c:v>2</c:v>
                </c:pt>
                <c:pt idx="18">
                  <c:v>12.3</c:v>
                </c:pt>
                <c:pt idx="19">
                  <c:v>11.82</c:v>
                </c:pt>
                <c:pt idx="20">
                  <c:v>39</c:v>
                </c:pt>
              </c:numCache>
            </c:numRef>
          </c:xVal>
          <c:yVal>
            <c:numRef>
              <c:f>'Unit conversion'!$AK$3:$AK$23</c:f>
              <c:numCache>
                <c:formatCode>0.00</c:formatCode>
                <c:ptCount val="21"/>
                <c:pt idx="0">
                  <c:v>222.53398508845962</c:v>
                </c:pt>
                <c:pt idx="1">
                  <c:v>2.2437927169280387</c:v>
                </c:pt>
                <c:pt idx="2">
                  <c:v>4.7366971969448599</c:v>
                </c:pt>
                <c:pt idx="3">
                  <c:v>176.82116397896678</c:v>
                </c:pt>
                <c:pt idx="4">
                  <c:v>7.2674149063093116</c:v>
                </c:pt>
                <c:pt idx="5">
                  <c:v>7.2463672128347962</c:v>
                </c:pt>
                <c:pt idx="6">
                  <c:v>7.5193861445596824</c:v>
                </c:pt>
                <c:pt idx="7">
                  <c:v>3.858838170109844</c:v>
                </c:pt>
                <c:pt idx="8">
                  <c:v>1.8348538033800972</c:v>
                </c:pt>
                <c:pt idx="9">
                  <c:v>0.42875407896239642</c:v>
                </c:pt>
                <c:pt idx="10">
                  <c:v>24.929720359419385</c:v>
                </c:pt>
                <c:pt idx="11">
                  <c:v>6.3862653671408989</c:v>
                </c:pt>
                <c:pt idx="12">
                  <c:v>8.3295554544778909</c:v>
                </c:pt>
                <c:pt idx="13">
                  <c:v>71.412131250997732</c:v>
                </c:pt>
                <c:pt idx="14">
                  <c:v>28.110318276227087</c:v>
                </c:pt>
                <c:pt idx="15">
                  <c:v>1.0674815402101365</c:v>
                </c:pt>
                <c:pt idx="16">
                  <c:v>1.3831320616542844</c:v>
                </c:pt>
                <c:pt idx="17">
                  <c:v>1.9819753068614072</c:v>
                </c:pt>
                <c:pt idx="18">
                  <c:v>10.671257625597901</c:v>
                </c:pt>
                <c:pt idx="19">
                  <c:v>10.78453001427293</c:v>
                </c:pt>
                <c:pt idx="20">
                  <c:v>31.609596399607572</c:v>
                </c:pt>
              </c:numCache>
            </c:numRef>
          </c:yVal>
          <c:smooth val="0"/>
        </c:ser>
        <c:dLbls>
          <c:showLegendKey val="0"/>
          <c:showVal val="0"/>
          <c:showCatName val="0"/>
          <c:showSerName val="0"/>
          <c:showPercent val="0"/>
          <c:showBubbleSize val="0"/>
        </c:dLbls>
        <c:axId val="358623696"/>
        <c:axId val="358625656"/>
      </c:scatterChart>
      <c:valAx>
        <c:axId val="35862369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25656"/>
        <c:crosses val="autoZero"/>
        <c:crossBetween val="midCat"/>
      </c:valAx>
      <c:valAx>
        <c:axId val="35862565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236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'Unit conversion'!$L$42</c:f>
              <c:strCache>
                <c:ptCount val="1"/>
                <c:pt idx="0">
                  <c:v>Cl/(EC/100)</c:v>
                </c:pt>
              </c:strCache>
            </c:strRef>
          </c:tx>
          <c:spPr>
            <a:ln w="25400" cap="rnd">
              <a:noFill/>
              <a:round/>
            </a:ln>
            <a:effectLst/>
          </c:spPr>
          <c:marker>
            <c:symbol val="circle"/>
            <c:size val="5"/>
            <c:spPr>
              <a:solidFill>
                <a:schemeClr val="accent1"/>
              </a:solidFill>
              <a:ln w="9525">
                <a:solidFill>
                  <a:schemeClr val="accent1"/>
                </a:solidFill>
              </a:ln>
              <a:effectLst/>
            </c:spPr>
          </c:marker>
          <c:xVal>
            <c:numRef>
              <c:f>'Unit conversion'!$H$44:$H$64</c:f>
              <c:numCache>
                <c:formatCode>General</c:formatCode>
                <c:ptCount val="21"/>
                <c:pt idx="0">
                  <c:v>176.8</c:v>
                </c:pt>
                <c:pt idx="1">
                  <c:v>2.7</c:v>
                </c:pt>
                <c:pt idx="2">
                  <c:v>5.37</c:v>
                </c:pt>
                <c:pt idx="3">
                  <c:v>147</c:v>
                </c:pt>
                <c:pt idx="4">
                  <c:v>8.08</c:v>
                </c:pt>
                <c:pt idx="5">
                  <c:v>7.71</c:v>
                </c:pt>
                <c:pt idx="6">
                  <c:v>8.24</c:v>
                </c:pt>
                <c:pt idx="7">
                  <c:v>4.42</c:v>
                </c:pt>
                <c:pt idx="8">
                  <c:v>2.2000000000000002</c:v>
                </c:pt>
                <c:pt idx="9">
                  <c:v>0.53700000000000003</c:v>
                </c:pt>
                <c:pt idx="10">
                  <c:v>27.1</c:v>
                </c:pt>
                <c:pt idx="11">
                  <c:v>6.79</c:v>
                </c:pt>
                <c:pt idx="12">
                  <c:v>10.050000000000001</c:v>
                </c:pt>
                <c:pt idx="13">
                  <c:v>92</c:v>
                </c:pt>
                <c:pt idx="14">
                  <c:v>30.2</c:v>
                </c:pt>
                <c:pt idx="15">
                  <c:v>1.1830000000000001</c:v>
                </c:pt>
                <c:pt idx="16">
                  <c:v>1.625</c:v>
                </c:pt>
                <c:pt idx="17">
                  <c:v>2</c:v>
                </c:pt>
                <c:pt idx="18">
                  <c:v>12.3</c:v>
                </c:pt>
                <c:pt idx="19">
                  <c:v>11.82</c:v>
                </c:pt>
                <c:pt idx="20">
                  <c:v>39</c:v>
                </c:pt>
              </c:numCache>
            </c:numRef>
          </c:xVal>
          <c:yVal>
            <c:numRef>
              <c:f>'Unit conversion'!$L$44:$L$64</c:f>
              <c:numCache>
                <c:formatCode>General</c:formatCode>
                <c:ptCount val="21"/>
                <c:pt idx="0">
                  <c:v>104.86695631310022</c:v>
                </c:pt>
                <c:pt idx="1">
                  <c:v>16.506082334637</c:v>
                </c:pt>
                <c:pt idx="2">
                  <c:v>45.872487516466911</c:v>
                </c:pt>
                <c:pt idx="3">
                  <c:v>103.7465478819734</c:v>
                </c:pt>
                <c:pt idx="4">
                  <c:v>48.000086686411095</c:v>
                </c:pt>
                <c:pt idx="5">
                  <c:v>35.263001469336849</c:v>
                </c:pt>
                <c:pt idx="6">
                  <c:v>35.072027186996394</c:v>
                </c:pt>
                <c:pt idx="7">
                  <c:v>35.926716301512279</c:v>
                </c:pt>
                <c:pt idx="8">
                  <c:v>63.295217674150727</c:v>
                </c:pt>
                <c:pt idx="9">
                  <c:v>57.122297167901714</c:v>
                </c:pt>
                <c:pt idx="10">
                  <c:v>76.239099386483616</c:v>
                </c:pt>
                <c:pt idx="11">
                  <c:v>28.397562114258957</c:v>
                </c:pt>
                <c:pt idx="12">
                  <c:v>31.8271445885708</c:v>
                </c:pt>
                <c:pt idx="13">
                  <c:v>64.215382626772396</c:v>
                </c:pt>
                <c:pt idx="14">
                  <c:v>72.005930035274872</c:v>
                </c:pt>
                <c:pt idx="15">
                  <c:v>27.602169329033572</c:v>
                </c:pt>
                <c:pt idx="16">
                  <c:v>65.885401806220244</c:v>
                </c:pt>
                <c:pt idx="17">
                  <c:v>45.773664629210195</c:v>
                </c:pt>
                <c:pt idx="18">
                  <c:v>59.731710321190349</c:v>
                </c:pt>
                <c:pt idx="19">
                  <c:v>37.33364962902813</c:v>
                </c:pt>
                <c:pt idx="20">
                  <c:v>68.459579187958127</c:v>
                </c:pt>
              </c:numCache>
            </c:numRef>
          </c:yVal>
          <c:smooth val="0"/>
        </c:ser>
        <c:ser>
          <c:idx val="1"/>
          <c:order val="1"/>
          <c:tx>
            <c:strRef>
              <c:f>'Unit conversion'!$M$42</c:f>
              <c:strCache>
                <c:ptCount val="1"/>
                <c:pt idx="0">
                  <c:v>HCO3/(EC/100)</c:v>
                </c:pt>
              </c:strCache>
            </c:strRef>
          </c:tx>
          <c:spPr>
            <a:ln w="25400" cap="rnd">
              <a:noFill/>
              <a:round/>
            </a:ln>
            <a:effectLst/>
          </c:spPr>
          <c:marker>
            <c:symbol val="circle"/>
            <c:size val="5"/>
            <c:spPr>
              <a:solidFill>
                <a:schemeClr val="accent2"/>
              </a:solidFill>
              <a:ln w="9525">
                <a:solidFill>
                  <a:schemeClr val="accent2"/>
                </a:solidFill>
              </a:ln>
              <a:effectLst/>
            </c:spPr>
          </c:marker>
          <c:xVal>
            <c:numRef>
              <c:f>'Unit conversion'!$H$44:$H$64</c:f>
              <c:numCache>
                <c:formatCode>General</c:formatCode>
                <c:ptCount val="21"/>
                <c:pt idx="0">
                  <c:v>176.8</c:v>
                </c:pt>
                <c:pt idx="1">
                  <c:v>2.7</c:v>
                </c:pt>
                <c:pt idx="2">
                  <c:v>5.37</c:v>
                </c:pt>
                <c:pt idx="3">
                  <c:v>147</c:v>
                </c:pt>
                <c:pt idx="4">
                  <c:v>8.08</c:v>
                </c:pt>
                <c:pt idx="5">
                  <c:v>7.71</c:v>
                </c:pt>
                <c:pt idx="6">
                  <c:v>8.24</c:v>
                </c:pt>
                <c:pt idx="7">
                  <c:v>4.42</c:v>
                </c:pt>
                <c:pt idx="8">
                  <c:v>2.2000000000000002</c:v>
                </c:pt>
                <c:pt idx="9">
                  <c:v>0.53700000000000003</c:v>
                </c:pt>
                <c:pt idx="10">
                  <c:v>27.1</c:v>
                </c:pt>
                <c:pt idx="11">
                  <c:v>6.79</c:v>
                </c:pt>
                <c:pt idx="12">
                  <c:v>10.050000000000001</c:v>
                </c:pt>
                <c:pt idx="13">
                  <c:v>92</c:v>
                </c:pt>
                <c:pt idx="14">
                  <c:v>30.2</c:v>
                </c:pt>
                <c:pt idx="15">
                  <c:v>1.1830000000000001</c:v>
                </c:pt>
                <c:pt idx="16">
                  <c:v>1.625</c:v>
                </c:pt>
                <c:pt idx="17">
                  <c:v>2</c:v>
                </c:pt>
                <c:pt idx="18">
                  <c:v>12.3</c:v>
                </c:pt>
                <c:pt idx="19">
                  <c:v>11.82</c:v>
                </c:pt>
                <c:pt idx="20">
                  <c:v>39</c:v>
                </c:pt>
              </c:numCache>
            </c:numRef>
          </c:xVal>
          <c:yVal>
            <c:numRef>
              <c:f>'Unit conversion'!$M$44:$M$64</c:f>
              <c:numCache>
                <c:formatCode>General</c:formatCode>
                <c:ptCount val="21"/>
                <c:pt idx="0">
                  <c:v>3.9588127182665946</c:v>
                </c:pt>
                <c:pt idx="1">
                  <c:v>64.426341698596673</c:v>
                </c:pt>
                <c:pt idx="2">
                  <c:v>18.244408071072453</c:v>
                </c:pt>
                <c:pt idx="3">
                  <c:v>4.3117136492164283</c:v>
                </c:pt>
                <c:pt idx="4">
                  <c:v>19.621170724899724</c:v>
                </c:pt>
                <c:pt idx="5">
                  <c:v>53.896878473595514</c:v>
                </c:pt>
                <c:pt idx="6">
                  <c:v>48.694193766223066</c:v>
                </c:pt>
                <c:pt idx="7">
                  <c:v>49.759773975355522</c:v>
                </c:pt>
                <c:pt idx="8">
                  <c:v>13.632533118041614</c:v>
                </c:pt>
                <c:pt idx="9">
                  <c:v>7.4466971718663082</c:v>
                </c:pt>
                <c:pt idx="10">
                  <c:v>11.80480112558585</c:v>
                </c:pt>
                <c:pt idx="11">
                  <c:v>51.23744406073962</c:v>
                </c:pt>
                <c:pt idx="12">
                  <c:v>22.879143475054914</c:v>
                </c:pt>
                <c:pt idx="13">
                  <c:v>7.3892280958660361</c:v>
                </c:pt>
                <c:pt idx="14">
                  <c:v>11.255115642709857</c:v>
                </c:pt>
                <c:pt idx="15">
                  <c:v>62.4798459031216</c:v>
                </c:pt>
                <c:pt idx="16">
                  <c:v>12.304235019360638</c:v>
                </c:pt>
                <c:pt idx="17">
                  <c:v>52.98511205212175</c:v>
                </c:pt>
                <c:pt idx="18">
                  <c:v>25.358728271609117</c:v>
                </c:pt>
                <c:pt idx="19">
                  <c:v>39.92110092998989</c:v>
                </c:pt>
                <c:pt idx="20">
                  <c:v>9.9971909532305201</c:v>
                </c:pt>
              </c:numCache>
            </c:numRef>
          </c:yVal>
          <c:smooth val="0"/>
        </c:ser>
        <c:dLbls>
          <c:showLegendKey val="0"/>
          <c:showVal val="0"/>
          <c:showCatName val="0"/>
          <c:showSerName val="0"/>
          <c:showPercent val="0"/>
          <c:showBubbleSize val="0"/>
        </c:dLbls>
        <c:axId val="358628400"/>
        <c:axId val="358627616"/>
      </c:scatterChart>
      <c:valAx>
        <c:axId val="358628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27616"/>
        <c:crosses val="autoZero"/>
        <c:crossBetween val="midCat"/>
      </c:valAx>
      <c:valAx>
        <c:axId val="35862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284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Reduction!$AB$3:$AB$23</c:f>
              <c:numCache>
                <c:formatCode>General</c:formatCode>
                <c:ptCount val="21"/>
                <c:pt idx="0">
                  <c:v>3.9393342525113255E-4</c:v>
                </c:pt>
                <c:pt idx="1">
                  <c:v>1.117338442530485E-2</c:v>
                </c:pt>
                <c:pt idx="2">
                  <c:v>1.5757337010045302E-3</c:v>
                </c:pt>
                <c:pt idx="3">
                  <c:v>1.1979157340591259E-3</c:v>
                </c:pt>
                <c:pt idx="4">
                  <c:v>6.1775923505291239E-3</c:v>
                </c:pt>
                <c:pt idx="5">
                  <c:v>6.8043046179741077E-6</c:v>
                </c:pt>
                <c:pt idx="6">
                  <c:v>0</c:v>
                </c:pt>
                <c:pt idx="7">
                  <c:v>1.4665067058212616E-2</c:v>
                </c:pt>
                <c:pt idx="8">
                  <c:v>1.0349705445234301E-3</c:v>
                </c:pt>
                <c:pt idx="9">
                  <c:v>1.2570057478467956E-3</c:v>
                </c:pt>
                <c:pt idx="10">
                  <c:v>2.9903128189517789E-4</c:v>
                </c:pt>
                <c:pt idx="11">
                  <c:v>5.0674163339122955E-4</c:v>
                </c:pt>
                <c:pt idx="12">
                  <c:v>5.8015649900621338E-4</c:v>
                </c:pt>
                <c:pt idx="13">
                  <c:v>2.6500975880530735E-4</c:v>
                </c:pt>
                <c:pt idx="14">
                  <c:v>5.264383046537862E-4</c:v>
                </c:pt>
                <c:pt idx="15">
                  <c:v>5.3718194352427168E-2</c:v>
                </c:pt>
                <c:pt idx="16">
                  <c:v>5.156946657833008E-4</c:v>
                </c:pt>
                <c:pt idx="17">
                  <c:v>2.3277884219385106E-2</c:v>
                </c:pt>
                <c:pt idx="18">
                  <c:v>7.7891381811019385E-4</c:v>
                </c:pt>
                <c:pt idx="19">
                  <c:v>1.6742170573173134E-4</c:v>
                </c:pt>
                <c:pt idx="20">
                  <c:v>8.0040109585116474E-3</c:v>
                </c:pt>
              </c:numCache>
            </c:numRef>
          </c:xVal>
          <c:yVal>
            <c:numRef>
              <c:f>Reduction!$Y$3:$Y$23</c:f>
              <c:numCache>
                <c:formatCode>General</c:formatCode>
                <c:ptCount val="21"/>
                <c:pt idx="0">
                  <c:v>0</c:v>
                </c:pt>
                <c:pt idx="1">
                  <c:v>3.2255494481568729E-4</c:v>
                </c:pt>
                <c:pt idx="2">
                  <c:v>9.5331113940276373E-3</c:v>
                </c:pt>
                <c:pt idx="3">
                  <c:v>0</c:v>
                </c:pt>
                <c:pt idx="4">
                  <c:v>6.4510988963137458E-4</c:v>
                </c:pt>
                <c:pt idx="5">
                  <c:v>4.4673859856972685E-3</c:v>
                </c:pt>
                <c:pt idx="6">
                  <c:v>0</c:v>
                </c:pt>
                <c:pt idx="7">
                  <c:v>6.9026758190557074E-3</c:v>
                </c:pt>
                <c:pt idx="8">
                  <c:v>5.5613310810396721E-2</c:v>
                </c:pt>
                <c:pt idx="9">
                  <c:v>0</c:v>
                </c:pt>
                <c:pt idx="10">
                  <c:v>0</c:v>
                </c:pt>
                <c:pt idx="11">
                  <c:v>4.580602771327575E-2</c:v>
                </c:pt>
                <c:pt idx="12">
                  <c:v>0.31449107119529507</c:v>
                </c:pt>
                <c:pt idx="13">
                  <c:v>0.40158090629553062</c:v>
                </c:pt>
                <c:pt idx="14">
                  <c:v>0</c:v>
                </c:pt>
                <c:pt idx="15">
                  <c:v>0</c:v>
                </c:pt>
                <c:pt idx="16">
                  <c:v>7.5429473845148474E-3</c:v>
                </c:pt>
                <c:pt idx="17">
                  <c:v>1.4595611252909851E-3</c:v>
                </c:pt>
                <c:pt idx="18">
                  <c:v>0</c:v>
                </c:pt>
                <c:pt idx="19">
                  <c:v>3.9432342003717764E-2</c:v>
                </c:pt>
                <c:pt idx="20">
                  <c:v>0</c:v>
                </c:pt>
              </c:numCache>
            </c:numRef>
          </c:yVal>
          <c:smooth val="0"/>
        </c:ser>
        <c:dLbls>
          <c:showLegendKey val="0"/>
          <c:showVal val="0"/>
          <c:showCatName val="0"/>
          <c:showSerName val="0"/>
          <c:showPercent val="0"/>
          <c:showBubbleSize val="0"/>
        </c:dLbls>
        <c:axId val="358621344"/>
        <c:axId val="358621736"/>
      </c:scatterChart>
      <c:valAx>
        <c:axId val="358621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21736"/>
        <c:crosses val="autoZero"/>
        <c:crossBetween val="midCat"/>
      </c:valAx>
      <c:valAx>
        <c:axId val="358621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213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Reduction!$U$1</c:f>
              <c:strCache>
                <c:ptCount val="1"/>
                <c:pt idx="0">
                  <c:v>SO4</c:v>
                </c:pt>
              </c:strCache>
            </c:strRef>
          </c:tx>
          <c:spPr>
            <a:ln w="25400" cap="rnd">
              <a:noFill/>
              <a:round/>
            </a:ln>
            <a:effectLst/>
          </c:spPr>
          <c:marker>
            <c:symbol val="circle"/>
            <c:size val="5"/>
            <c:spPr>
              <a:solidFill>
                <a:schemeClr val="accent1"/>
              </a:solidFill>
              <a:ln w="9525">
                <a:solidFill>
                  <a:schemeClr val="accent1"/>
                </a:solidFill>
              </a:ln>
              <a:effectLst/>
            </c:spPr>
          </c:marker>
          <c:xVal>
            <c:numRef>
              <c:f>Reduction!$AB$3:$AB$23</c:f>
              <c:numCache>
                <c:formatCode>General</c:formatCode>
                <c:ptCount val="21"/>
                <c:pt idx="0">
                  <c:v>3.9393342525113255E-4</c:v>
                </c:pt>
                <c:pt idx="1">
                  <c:v>1.117338442530485E-2</c:v>
                </c:pt>
                <c:pt idx="2">
                  <c:v>1.5757337010045302E-3</c:v>
                </c:pt>
                <c:pt idx="3">
                  <c:v>1.1979157340591259E-3</c:v>
                </c:pt>
                <c:pt idx="4">
                  <c:v>6.1775923505291239E-3</c:v>
                </c:pt>
                <c:pt idx="5">
                  <c:v>6.8043046179741077E-6</c:v>
                </c:pt>
                <c:pt idx="6">
                  <c:v>0</c:v>
                </c:pt>
                <c:pt idx="7">
                  <c:v>1.4665067058212616E-2</c:v>
                </c:pt>
                <c:pt idx="8">
                  <c:v>1.0349705445234301E-3</c:v>
                </c:pt>
                <c:pt idx="9">
                  <c:v>1.2570057478467956E-3</c:v>
                </c:pt>
                <c:pt idx="10">
                  <c:v>2.9903128189517789E-4</c:v>
                </c:pt>
                <c:pt idx="11">
                  <c:v>5.0674163339122955E-4</c:v>
                </c:pt>
                <c:pt idx="12">
                  <c:v>5.8015649900621338E-4</c:v>
                </c:pt>
                <c:pt idx="13">
                  <c:v>2.6500975880530735E-4</c:v>
                </c:pt>
                <c:pt idx="14">
                  <c:v>5.264383046537862E-4</c:v>
                </c:pt>
                <c:pt idx="15">
                  <c:v>5.3718194352427168E-2</c:v>
                </c:pt>
                <c:pt idx="16">
                  <c:v>5.156946657833008E-4</c:v>
                </c:pt>
                <c:pt idx="17">
                  <c:v>2.3277884219385106E-2</c:v>
                </c:pt>
                <c:pt idx="18">
                  <c:v>7.7891381811019385E-4</c:v>
                </c:pt>
                <c:pt idx="19">
                  <c:v>1.6742170573173134E-4</c:v>
                </c:pt>
                <c:pt idx="20">
                  <c:v>8.0040109585116474E-3</c:v>
                </c:pt>
              </c:numCache>
            </c:numRef>
          </c:xVal>
          <c:yVal>
            <c:numRef>
              <c:f>Reduction!$V$3:$V$23</c:f>
              <c:numCache>
                <c:formatCode>General</c:formatCode>
                <c:ptCount val="21"/>
                <c:pt idx="0">
                  <c:v>14.956757814614486</c:v>
                </c:pt>
                <c:pt idx="1">
                  <c:v>2.9147356542956956E-2</c:v>
                </c:pt>
                <c:pt idx="2">
                  <c:v>0.64204339624998441</c:v>
                </c:pt>
                <c:pt idx="3">
                  <c:v>8.895148630698829</c:v>
                </c:pt>
                <c:pt idx="4">
                  <c:v>0.90148609879288299</c:v>
                </c:pt>
                <c:pt idx="5">
                  <c:v>0.1838365416245071</c:v>
                </c:pt>
                <c:pt idx="6">
                  <c:v>0.30852476900719938</c:v>
                </c:pt>
                <c:pt idx="7">
                  <c:v>3.2296312026615703E-2</c:v>
                </c:pt>
                <c:pt idx="8">
                  <c:v>4.3414987570734392E-2</c:v>
                </c:pt>
                <c:pt idx="9">
                  <c:v>4.1009289678921056E-2</c:v>
                </c:pt>
                <c:pt idx="10">
                  <c:v>0.5207071148697322</c:v>
                </c:pt>
                <c:pt idx="11">
                  <c:v>0.46486910754958172</c:v>
                </c:pt>
                <c:pt idx="12">
                  <c:v>1.2585412164441059</c:v>
                </c:pt>
                <c:pt idx="13">
                  <c:v>2.5219750248793509</c:v>
                </c:pt>
                <c:pt idx="14">
                  <c:v>1.4689747209140613</c:v>
                </c:pt>
                <c:pt idx="15">
                  <c:v>9.0565000687044836E-4</c:v>
                </c:pt>
                <c:pt idx="16">
                  <c:v>5.2503757927040012E-2</c:v>
                </c:pt>
                <c:pt idx="17">
                  <c:v>2.6701060547387359E-3</c:v>
                </c:pt>
                <c:pt idx="18">
                  <c:v>9.7310531772700576E-2</c:v>
                </c:pt>
                <c:pt idx="19">
                  <c:v>0.8042900744923156</c:v>
                </c:pt>
                <c:pt idx="20">
                  <c:v>0.48864502267247945</c:v>
                </c:pt>
              </c:numCache>
            </c:numRef>
          </c:yVal>
          <c:smooth val="0"/>
        </c:ser>
        <c:dLbls>
          <c:showLegendKey val="0"/>
          <c:showVal val="0"/>
          <c:showCatName val="0"/>
          <c:showSerName val="0"/>
          <c:showPercent val="0"/>
          <c:showBubbleSize val="0"/>
        </c:dLbls>
        <c:axId val="358622520"/>
        <c:axId val="358624088"/>
      </c:scatterChart>
      <c:valAx>
        <c:axId val="358622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24088"/>
        <c:crosses val="autoZero"/>
        <c:crossBetween val="midCat"/>
      </c:valAx>
      <c:valAx>
        <c:axId val="358624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22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Reduction!$P$3:$P$23</c:f>
              <c:numCache>
                <c:formatCode>General</c:formatCode>
                <c:ptCount val="21"/>
                <c:pt idx="0">
                  <c:v>185.40477876156118</c:v>
                </c:pt>
                <c:pt idx="1">
                  <c:v>0.44566422303519904</c:v>
                </c:pt>
                <c:pt idx="2">
                  <c:v>2.463352579634273</c:v>
                </c:pt>
                <c:pt idx="3">
                  <c:v>152.5074253865009</c:v>
                </c:pt>
                <c:pt idx="4">
                  <c:v>3.8784070042620167</c:v>
                </c:pt>
                <c:pt idx="5">
                  <c:v>2.7187774132858711</c:v>
                </c:pt>
                <c:pt idx="6">
                  <c:v>2.8899350402085027</c:v>
                </c:pt>
                <c:pt idx="7">
                  <c:v>1.5879608605268427</c:v>
                </c:pt>
                <c:pt idx="8">
                  <c:v>1.3924947888313162</c:v>
                </c:pt>
                <c:pt idx="9">
                  <c:v>0.30674673579163225</c:v>
                </c:pt>
                <c:pt idx="10">
                  <c:v>20.660795933737063</c:v>
                </c:pt>
                <c:pt idx="11">
                  <c:v>1.9281944675581832</c:v>
                </c:pt>
                <c:pt idx="12">
                  <c:v>3.1986280311513653</c:v>
                </c:pt>
                <c:pt idx="13">
                  <c:v>59.078152016630611</c:v>
                </c:pt>
                <c:pt idx="14">
                  <c:v>21.745790870653011</c:v>
                </c:pt>
                <c:pt idx="15">
                  <c:v>0.32653366316246718</c:v>
                </c:pt>
                <c:pt idx="16">
                  <c:v>1.0706377793510791</c:v>
                </c:pt>
                <c:pt idx="17">
                  <c:v>0.91547329258420385</c:v>
                </c:pt>
                <c:pt idx="18">
                  <c:v>7.3470003695064126</c:v>
                </c:pt>
                <c:pt idx="19">
                  <c:v>4.412837386151125</c:v>
                </c:pt>
                <c:pt idx="20">
                  <c:v>26.699235883303672</c:v>
                </c:pt>
              </c:numCache>
            </c:numRef>
          </c:xVal>
          <c:yVal>
            <c:numRef>
              <c:f>Reduction!$V$3:$V$23</c:f>
              <c:numCache>
                <c:formatCode>General</c:formatCode>
                <c:ptCount val="21"/>
                <c:pt idx="0">
                  <c:v>14.956757814614486</c:v>
                </c:pt>
                <c:pt idx="1">
                  <c:v>2.9147356542956956E-2</c:v>
                </c:pt>
                <c:pt idx="2">
                  <c:v>0.64204339624998441</c:v>
                </c:pt>
                <c:pt idx="3">
                  <c:v>8.895148630698829</c:v>
                </c:pt>
                <c:pt idx="4">
                  <c:v>0.90148609879288299</c:v>
                </c:pt>
                <c:pt idx="5">
                  <c:v>0.1838365416245071</c:v>
                </c:pt>
                <c:pt idx="6">
                  <c:v>0.30852476900719938</c:v>
                </c:pt>
                <c:pt idx="7">
                  <c:v>3.2296312026615703E-2</c:v>
                </c:pt>
                <c:pt idx="8">
                  <c:v>4.3414987570734392E-2</c:v>
                </c:pt>
                <c:pt idx="9">
                  <c:v>4.1009289678921056E-2</c:v>
                </c:pt>
                <c:pt idx="10">
                  <c:v>0.5207071148697322</c:v>
                </c:pt>
                <c:pt idx="11">
                  <c:v>0.46486910754958172</c:v>
                </c:pt>
                <c:pt idx="12">
                  <c:v>1.2585412164441059</c:v>
                </c:pt>
                <c:pt idx="13">
                  <c:v>2.5219750248793509</c:v>
                </c:pt>
                <c:pt idx="14">
                  <c:v>1.4689747209140613</c:v>
                </c:pt>
                <c:pt idx="15">
                  <c:v>9.0565000687044836E-4</c:v>
                </c:pt>
                <c:pt idx="16">
                  <c:v>5.2503757927040012E-2</c:v>
                </c:pt>
                <c:pt idx="17">
                  <c:v>2.6701060547387359E-3</c:v>
                </c:pt>
                <c:pt idx="18">
                  <c:v>9.7310531772700576E-2</c:v>
                </c:pt>
                <c:pt idx="19">
                  <c:v>0.8042900744923156</c:v>
                </c:pt>
                <c:pt idx="20">
                  <c:v>0.48864502267247945</c:v>
                </c:pt>
              </c:numCache>
            </c:numRef>
          </c:yVal>
          <c:smooth val="0"/>
        </c:ser>
        <c:ser>
          <c:idx val="1"/>
          <c:order val="1"/>
          <c:tx>
            <c:strRef>
              <c:f>Reduction!$L$44</c:f>
              <c:strCache>
                <c:ptCount val="1"/>
                <c:pt idx="0">
                  <c:v>seawater mixing line</c:v>
                </c:pt>
              </c:strCache>
            </c:strRef>
          </c:tx>
          <c:spPr>
            <a:ln w="25400" cap="rnd">
              <a:solidFill>
                <a:schemeClr val="accent2"/>
              </a:solidFill>
              <a:round/>
            </a:ln>
            <a:effectLst/>
          </c:spPr>
          <c:marker>
            <c:symbol val="circle"/>
            <c:size val="5"/>
            <c:spPr>
              <a:solidFill>
                <a:schemeClr val="accent2"/>
              </a:solidFill>
              <a:ln w="9525">
                <a:solidFill>
                  <a:schemeClr val="accent2"/>
                </a:solidFill>
              </a:ln>
              <a:effectLst/>
            </c:spPr>
          </c:marker>
          <c:xVal>
            <c:numRef>
              <c:f>Reduction!$M$45:$N$45</c:f>
              <c:numCache>
                <c:formatCode>General</c:formatCode>
                <c:ptCount val="2"/>
                <c:pt idx="0">
                  <c:v>200</c:v>
                </c:pt>
                <c:pt idx="1">
                  <c:v>0</c:v>
                </c:pt>
              </c:numCache>
            </c:numRef>
          </c:xVal>
          <c:yVal>
            <c:numRef>
              <c:f>Reduction!$M$46:$N$46</c:f>
              <c:numCache>
                <c:formatCode>General</c:formatCode>
                <c:ptCount val="2"/>
                <c:pt idx="0">
                  <c:v>10.353356890459365</c:v>
                </c:pt>
                <c:pt idx="1">
                  <c:v>0</c:v>
                </c:pt>
              </c:numCache>
            </c:numRef>
          </c:yVal>
          <c:smooth val="0"/>
        </c:ser>
        <c:dLbls>
          <c:showLegendKey val="0"/>
          <c:showVal val="0"/>
          <c:showCatName val="0"/>
          <c:showSerName val="0"/>
          <c:showPercent val="0"/>
          <c:showBubbleSize val="0"/>
        </c:dLbls>
        <c:axId val="358626832"/>
        <c:axId val="358627224"/>
      </c:scatterChart>
      <c:valAx>
        <c:axId val="358626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27224"/>
        <c:crosses val="autoZero"/>
        <c:crossBetween val="midCat"/>
      </c:valAx>
      <c:valAx>
        <c:axId val="358627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268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Reduction!$P$3:$P$23</c:f>
              <c:numCache>
                <c:formatCode>General</c:formatCode>
                <c:ptCount val="21"/>
                <c:pt idx="0">
                  <c:v>185.40477876156118</c:v>
                </c:pt>
                <c:pt idx="1">
                  <c:v>0.44566422303519904</c:v>
                </c:pt>
                <c:pt idx="2">
                  <c:v>2.463352579634273</c:v>
                </c:pt>
                <c:pt idx="3">
                  <c:v>152.5074253865009</c:v>
                </c:pt>
                <c:pt idx="4">
                  <c:v>3.8784070042620167</c:v>
                </c:pt>
                <c:pt idx="5">
                  <c:v>2.7187774132858711</c:v>
                </c:pt>
                <c:pt idx="6">
                  <c:v>2.8899350402085027</c:v>
                </c:pt>
                <c:pt idx="7">
                  <c:v>1.5879608605268427</c:v>
                </c:pt>
                <c:pt idx="8">
                  <c:v>1.3924947888313162</c:v>
                </c:pt>
                <c:pt idx="9">
                  <c:v>0.30674673579163225</c:v>
                </c:pt>
                <c:pt idx="10">
                  <c:v>20.660795933737063</c:v>
                </c:pt>
                <c:pt idx="11">
                  <c:v>1.9281944675581832</c:v>
                </c:pt>
                <c:pt idx="12">
                  <c:v>3.1986280311513653</c:v>
                </c:pt>
                <c:pt idx="13">
                  <c:v>59.078152016630611</c:v>
                </c:pt>
                <c:pt idx="14">
                  <c:v>21.745790870653011</c:v>
                </c:pt>
                <c:pt idx="15">
                  <c:v>0.32653366316246718</c:v>
                </c:pt>
                <c:pt idx="16">
                  <c:v>1.0706377793510791</c:v>
                </c:pt>
                <c:pt idx="17">
                  <c:v>0.91547329258420385</c:v>
                </c:pt>
                <c:pt idx="18">
                  <c:v>7.3470003695064126</c:v>
                </c:pt>
                <c:pt idx="19">
                  <c:v>4.412837386151125</c:v>
                </c:pt>
                <c:pt idx="20">
                  <c:v>26.699235883303672</c:v>
                </c:pt>
              </c:numCache>
            </c:numRef>
          </c:xVal>
          <c:yVal>
            <c:numRef>
              <c:f>Reduction!$V$3:$V$23</c:f>
              <c:numCache>
                <c:formatCode>General</c:formatCode>
                <c:ptCount val="21"/>
                <c:pt idx="0">
                  <c:v>14.956757814614486</c:v>
                </c:pt>
                <c:pt idx="1">
                  <c:v>2.9147356542956956E-2</c:v>
                </c:pt>
                <c:pt idx="2">
                  <c:v>0.64204339624998441</c:v>
                </c:pt>
                <c:pt idx="3">
                  <c:v>8.895148630698829</c:v>
                </c:pt>
                <c:pt idx="4">
                  <c:v>0.90148609879288299</c:v>
                </c:pt>
                <c:pt idx="5">
                  <c:v>0.1838365416245071</c:v>
                </c:pt>
                <c:pt idx="6">
                  <c:v>0.30852476900719938</c:v>
                </c:pt>
                <c:pt idx="7">
                  <c:v>3.2296312026615703E-2</c:v>
                </c:pt>
                <c:pt idx="8">
                  <c:v>4.3414987570734392E-2</c:v>
                </c:pt>
                <c:pt idx="9">
                  <c:v>4.1009289678921056E-2</c:v>
                </c:pt>
                <c:pt idx="10">
                  <c:v>0.5207071148697322</c:v>
                </c:pt>
                <c:pt idx="11">
                  <c:v>0.46486910754958172</c:v>
                </c:pt>
                <c:pt idx="12">
                  <c:v>1.2585412164441059</c:v>
                </c:pt>
                <c:pt idx="13">
                  <c:v>2.5219750248793509</c:v>
                </c:pt>
                <c:pt idx="14">
                  <c:v>1.4689747209140613</c:v>
                </c:pt>
                <c:pt idx="15">
                  <c:v>9.0565000687044836E-4</c:v>
                </c:pt>
                <c:pt idx="16">
                  <c:v>5.2503757927040012E-2</c:v>
                </c:pt>
                <c:pt idx="17">
                  <c:v>2.6701060547387359E-3</c:v>
                </c:pt>
                <c:pt idx="18">
                  <c:v>9.7310531772700576E-2</c:v>
                </c:pt>
                <c:pt idx="19">
                  <c:v>0.8042900744923156</c:v>
                </c:pt>
                <c:pt idx="20">
                  <c:v>0.48864502267247945</c:v>
                </c:pt>
              </c:numCache>
            </c:numRef>
          </c:yVal>
          <c:smooth val="0"/>
        </c:ser>
        <c:ser>
          <c:idx val="1"/>
          <c:order val="1"/>
          <c:tx>
            <c:strRef>
              <c:f>Reduction!$L$44</c:f>
              <c:strCache>
                <c:ptCount val="1"/>
                <c:pt idx="0">
                  <c:v>seawater mixing line</c:v>
                </c:pt>
              </c:strCache>
            </c:strRef>
          </c:tx>
          <c:spPr>
            <a:ln w="25400" cap="rnd">
              <a:solidFill>
                <a:schemeClr val="accent2"/>
              </a:solidFill>
              <a:round/>
            </a:ln>
            <a:effectLst/>
          </c:spPr>
          <c:marker>
            <c:symbol val="circle"/>
            <c:size val="5"/>
            <c:spPr>
              <a:solidFill>
                <a:schemeClr val="accent2"/>
              </a:solidFill>
              <a:ln w="9525">
                <a:solidFill>
                  <a:schemeClr val="accent2"/>
                </a:solidFill>
              </a:ln>
              <a:effectLst/>
            </c:spPr>
          </c:marker>
          <c:xVal>
            <c:numRef>
              <c:f>Reduction!$M$45:$N$45</c:f>
              <c:numCache>
                <c:formatCode>General</c:formatCode>
                <c:ptCount val="2"/>
                <c:pt idx="0">
                  <c:v>200</c:v>
                </c:pt>
                <c:pt idx="1">
                  <c:v>0</c:v>
                </c:pt>
              </c:numCache>
            </c:numRef>
          </c:xVal>
          <c:yVal>
            <c:numRef>
              <c:f>Reduction!$M$46:$N$46</c:f>
              <c:numCache>
                <c:formatCode>General</c:formatCode>
                <c:ptCount val="2"/>
                <c:pt idx="0">
                  <c:v>10.353356890459365</c:v>
                </c:pt>
                <c:pt idx="1">
                  <c:v>0</c:v>
                </c:pt>
              </c:numCache>
            </c:numRef>
          </c:yVal>
          <c:smooth val="0"/>
        </c:ser>
        <c:dLbls>
          <c:showLegendKey val="0"/>
          <c:showVal val="0"/>
          <c:showCatName val="0"/>
          <c:showSerName val="0"/>
          <c:showPercent val="0"/>
          <c:showBubbleSize val="0"/>
        </c:dLbls>
        <c:axId val="359104880"/>
        <c:axId val="359108016"/>
      </c:scatterChart>
      <c:valAx>
        <c:axId val="359104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08016"/>
        <c:crosses val="autoZero"/>
        <c:crossBetween val="midCat"/>
      </c:valAx>
      <c:valAx>
        <c:axId val="35910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048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'Cation exchange'!$C$41:$C$46</c:f>
              <c:numCache>
                <c:formatCode>General</c:formatCode>
                <c:ptCount val="6"/>
                <c:pt idx="0">
                  <c:v>185.40477876156118</c:v>
                </c:pt>
                <c:pt idx="1">
                  <c:v>152.5074253865009</c:v>
                </c:pt>
                <c:pt idx="2">
                  <c:v>20.660795933737063</c:v>
                </c:pt>
                <c:pt idx="3">
                  <c:v>59.078152016630611</c:v>
                </c:pt>
                <c:pt idx="4">
                  <c:v>21.745790870653011</c:v>
                </c:pt>
                <c:pt idx="5">
                  <c:v>26.699235883303672</c:v>
                </c:pt>
              </c:numCache>
            </c:numRef>
          </c:xVal>
          <c:yVal>
            <c:numRef>
              <c:f>'Cation exchange'!$B$41:$B$46</c:f>
              <c:numCache>
                <c:formatCode>General</c:formatCode>
                <c:ptCount val="6"/>
                <c:pt idx="0">
                  <c:v>90.344539362032705</c:v>
                </c:pt>
                <c:pt idx="1">
                  <c:v>80.949055249274366</c:v>
                </c:pt>
                <c:pt idx="2">
                  <c:v>11.309379024616515</c:v>
                </c:pt>
                <c:pt idx="3">
                  <c:v>46.281458777661435</c:v>
                </c:pt>
                <c:pt idx="4">
                  <c:v>12.118434600992929</c:v>
                </c:pt>
                <c:pt idx="5">
                  <c:v>12.440316927078166</c:v>
                </c:pt>
              </c:numCache>
            </c:numRef>
          </c:yVal>
          <c:smooth val="0"/>
        </c:ser>
        <c:ser>
          <c:idx val="1"/>
          <c:order val="1"/>
          <c:tx>
            <c:v>seawater mixing line</c:v>
          </c:tx>
          <c:spPr>
            <a:ln w="25400" cap="rnd">
              <a:solidFill>
                <a:schemeClr val="accent2"/>
              </a:solidFill>
              <a:round/>
            </a:ln>
            <a:effectLst/>
          </c:spPr>
          <c:marker>
            <c:symbol val="circle"/>
            <c:size val="5"/>
            <c:spPr>
              <a:solidFill>
                <a:schemeClr val="accent2"/>
              </a:solidFill>
              <a:ln w="9525">
                <a:solidFill>
                  <a:schemeClr val="accent2"/>
                </a:solidFill>
              </a:ln>
              <a:effectLst/>
            </c:spPr>
          </c:marker>
          <c:xVal>
            <c:numRef>
              <c:f>'Cation exchange'!$C$48:$C$49</c:f>
              <c:numCache>
                <c:formatCode>General</c:formatCode>
                <c:ptCount val="2"/>
                <c:pt idx="0">
                  <c:v>0</c:v>
                </c:pt>
                <c:pt idx="1">
                  <c:v>566</c:v>
                </c:pt>
              </c:numCache>
            </c:numRef>
          </c:xVal>
          <c:yVal>
            <c:numRef>
              <c:f>'Cation exchange'!$B$48:$B$49</c:f>
              <c:numCache>
                <c:formatCode>General</c:formatCode>
                <c:ptCount val="2"/>
                <c:pt idx="0">
                  <c:v>0</c:v>
                </c:pt>
                <c:pt idx="1">
                  <c:v>485</c:v>
                </c:pt>
              </c:numCache>
            </c:numRef>
          </c:yVal>
          <c:smooth val="0"/>
        </c:ser>
        <c:dLbls>
          <c:showLegendKey val="0"/>
          <c:showVal val="0"/>
          <c:showCatName val="0"/>
          <c:showSerName val="0"/>
          <c:showPercent val="0"/>
          <c:showBubbleSize val="0"/>
        </c:dLbls>
        <c:axId val="359103704"/>
        <c:axId val="359106448"/>
      </c:scatterChart>
      <c:valAx>
        <c:axId val="359103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06448"/>
        <c:crosses val="autoZero"/>
        <c:crossBetween val="midCat"/>
      </c:valAx>
      <c:valAx>
        <c:axId val="35910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037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'Cation exchange'!$B$57</c:f>
              <c:strCache>
                <c:ptCount val="1"/>
                <c:pt idx="0">
                  <c:v>ratio Na+/Cl-</c:v>
                </c:pt>
              </c:strCache>
            </c:strRef>
          </c:tx>
          <c:spPr>
            <a:ln w="25400" cap="rnd">
              <a:noFill/>
              <a:round/>
            </a:ln>
            <a:effectLst/>
          </c:spPr>
          <c:marker>
            <c:symbol val="circle"/>
            <c:size val="5"/>
            <c:spPr>
              <a:solidFill>
                <a:schemeClr val="accent1"/>
              </a:solidFill>
              <a:ln w="9525">
                <a:solidFill>
                  <a:schemeClr val="accent1"/>
                </a:solidFill>
              </a:ln>
              <a:effectLst/>
            </c:spPr>
          </c:marker>
          <c:xVal>
            <c:numRef>
              <c:f>'Cation exchange'!$D$58:$D$63</c:f>
              <c:numCache>
                <c:formatCode>General</c:formatCode>
                <c:ptCount val="6"/>
                <c:pt idx="0">
                  <c:v>185.40477876156118</c:v>
                </c:pt>
                <c:pt idx="1">
                  <c:v>152.5074253865009</c:v>
                </c:pt>
                <c:pt idx="2">
                  <c:v>20.660795933737063</c:v>
                </c:pt>
                <c:pt idx="3">
                  <c:v>59.078152016630611</c:v>
                </c:pt>
                <c:pt idx="4">
                  <c:v>21.745790870653011</c:v>
                </c:pt>
                <c:pt idx="5">
                  <c:v>26.699235883303672</c:v>
                </c:pt>
              </c:numCache>
            </c:numRef>
          </c:xVal>
          <c:yVal>
            <c:numRef>
              <c:f>'Cation exchange'!$B$58:$B$63</c:f>
              <c:numCache>
                <c:formatCode>General</c:formatCode>
                <c:ptCount val="6"/>
                <c:pt idx="0">
                  <c:v>48.728269015233863</c:v>
                </c:pt>
                <c:pt idx="1">
                  <c:v>53.078763243248304</c:v>
                </c:pt>
                <c:pt idx="2">
                  <c:v>54.738351130749052</c:v>
                </c:pt>
                <c:pt idx="3">
                  <c:v>78.33938130737927</c:v>
                </c:pt>
                <c:pt idx="4">
                  <c:v>55.727725301301135</c:v>
                </c:pt>
                <c:pt idx="5">
                  <c:v>46.594280755644021</c:v>
                </c:pt>
              </c:numCache>
            </c:numRef>
          </c:yVal>
          <c:smooth val="0"/>
        </c:ser>
        <c:ser>
          <c:idx val="1"/>
          <c:order val="1"/>
          <c:tx>
            <c:strRef>
              <c:f>'Cation exchange'!$C$57</c:f>
              <c:strCache>
                <c:ptCount val="1"/>
                <c:pt idx="0">
                  <c:v>ratio Ca2+/HCO3-</c:v>
                </c:pt>
              </c:strCache>
            </c:strRef>
          </c:tx>
          <c:spPr>
            <a:ln w="25400" cap="rnd">
              <a:noFill/>
              <a:round/>
            </a:ln>
            <a:effectLst/>
          </c:spPr>
          <c:marker>
            <c:symbol val="circle"/>
            <c:size val="5"/>
            <c:spPr>
              <a:solidFill>
                <a:schemeClr val="accent2"/>
              </a:solidFill>
              <a:ln w="9525">
                <a:solidFill>
                  <a:schemeClr val="accent2"/>
                </a:solidFill>
              </a:ln>
              <a:effectLst/>
            </c:spPr>
          </c:marker>
          <c:xVal>
            <c:numRef>
              <c:f>'Cation exchange'!$D$58:$D$63</c:f>
              <c:numCache>
                <c:formatCode>General</c:formatCode>
                <c:ptCount val="6"/>
                <c:pt idx="0">
                  <c:v>185.40477876156118</c:v>
                </c:pt>
                <c:pt idx="1">
                  <c:v>152.5074253865009</c:v>
                </c:pt>
                <c:pt idx="2">
                  <c:v>20.660795933737063</c:v>
                </c:pt>
                <c:pt idx="3">
                  <c:v>59.078152016630611</c:v>
                </c:pt>
                <c:pt idx="4">
                  <c:v>21.745790870653011</c:v>
                </c:pt>
                <c:pt idx="5">
                  <c:v>26.699235883303672</c:v>
                </c:pt>
              </c:numCache>
            </c:numRef>
          </c:xVal>
          <c:yVal>
            <c:numRef>
              <c:f>'Cation exchange'!$C$58:$C$63</c:f>
              <c:numCache>
                <c:formatCode>General</c:formatCode>
                <c:ptCount val="6"/>
                <c:pt idx="0">
                  <c:v>300.52064769622621</c:v>
                </c:pt>
                <c:pt idx="1">
                  <c:v>231.08130682119753</c:v>
                </c:pt>
                <c:pt idx="2">
                  <c:v>83.220517608491306</c:v>
                </c:pt>
                <c:pt idx="3">
                  <c:v>99.466388541379985</c:v>
                </c:pt>
                <c:pt idx="4">
                  <c:v>99.099353897315851</c:v>
                </c:pt>
                <c:pt idx="5">
                  <c:v>149.75013477816617</c:v>
                </c:pt>
              </c:numCache>
            </c:numRef>
          </c:yVal>
          <c:smooth val="0"/>
        </c:ser>
        <c:dLbls>
          <c:showLegendKey val="0"/>
          <c:showVal val="0"/>
          <c:showCatName val="0"/>
          <c:showSerName val="0"/>
          <c:showPercent val="0"/>
          <c:showBubbleSize val="0"/>
        </c:dLbls>
        <c:axId val="359108800"/>
        <c:axId val="359102528"/>
      </c:scatterChart>
      <c:valAx>
        <c:axId val="359108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02528"/>
        <c:crosses val="autoZero"/>
        <c:crossBetween val="midCat"/>
      </c:valAx>
      <c:valAx>
        <c:axId val="35910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088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28</xdr:col>
      <xdr:colOff>320040</xdr:colOff>
      <xdr:row>31</xdr:row>
      <xdr:rowOff>45720</xdr:rowOff>
    </xdr:from>
    <xdr:to>
      <xdr:col>37</xdr:col>
      <xdr:colOff>0</xdr:colOff>
      <xdr:row>47</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563880</xdr:colOff>
      <xdr:row>46</xdr:row>
      <xdr:rowOff>15240</xdr:rowOff>
    </xdr:from>
    <xdr:to>
      <xdr:col>22</xdr:col>
      <xdr:colOff>259080</xdr:colOff>
      <xdr:row>61</xdr:row>
      <xdr:rowOff>15240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556260</xdr:colOff>
      <xdr:row>24</xdr:row>
      <xdr:rowOff>53340</xdr:rowOff>
    </xdr:from>
    <xdr:to>
      <xdr:col>9</xdr:col>
      <xdr:colOff>251460</xdr:colOff>
      <xdr:row>39</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251460</xdr:colOff>
      <xdr:row>24</xdr:row>
      <xdr:rowOff>38100</xdr:rowOff>
    </xdr:from>
    <xdr:to>
      <xdr:col>18</xdr:col>
      <xdr:colOff>556260</xdr:colOff>
      <xdr:row>39</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601980</xdr:colOff>
      <xdr:row>41</xdr:row>
      <xdr:rowOff>60960</xdr:rowOff>
    </xdr:from>
    <xdr:to>
      <xdr:col>9</xdr:col>
      <xdr:colOff>297180</xdr:colOff>
      <xdr:row>56</xdr:row>
      <xdr:rowOff>60960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106017</xdr:colOff>
      <xdr:row>41</xdr:row>
      <xdr:rowOff>39757</xdr:rowOff>
    </xdr:from>
    <xdr:to>
      <xdr:col>21</xdr:col>
      <xdr:colOff>365097</xdr:colOff>
      <xdr:row>56</xdr:row>
      <xdr:rowOff>7320</xdr:rowOff>
    </xdr:to>
    <xdr:graphicFrame macro="">
      <xdr:nvGraphicFramePr>
        <xdr:cNvPr id="6" name="Chart 5"/>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91440</xdr:colOff>
      <xdr:row>38</xdr:row>
      <xdr:rowOff>167640</xdr:rowOff>
    </xdr:from>
    <xdr:to>
      <xdr:col>11</xdr:col>
      <xdr:colOff>396240</xdr:colOff>
      <xdr:row>53</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xdr:colOff>
      <xdr:row>57</xdr:row>
      <xdr:rowOff>99060</xdr:rowOff>
    </xdr:from>
    <xdr:to>
      <xdr:col>12</xdr:col>
      <xdr:colOff>335280</xdr:colOff>
      <xdr:row>72</xdr:row>
      <xdr:rowOff>99060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2"/>
  <sheetViews>
    <sheetView workbookViewId="0"/>
  </sheetViews>
  <sheetFormatPr defaultColWidth="6.6640625" defaultRowHeight="12" x14ac:dyDescent="0.25"/>
  <cols>
    <col min="1" max="1" width="7.44140625" style="1" customWidth="1"/>
    <col min="2" max="2" width="14.5546875" style="8" customWidth="1"/>
    <col min="3" max="3" width="6.5546875" style="7" customWidth="1"/>
    <col min="4" max="5" width="10.109375" style="9" customWidth="1"/>
    <col min="6" max="6" width="11.44140625" style="7" bestFit="1" customWidth="1"/>
    <col min="7" max="7" width="8.88671875" style="10" customWidth="1"/>
    <col min="8" max="8" width="10" style="7" customWidth="1"/>
    <col min="9" max="10" width="7.6640625" style="7" customWidth="1"/>
    <col min="11" max="18" width="7.6640625" style="14" customWidth="1"/>
    <col min="19" max="19" width="10.109375" style="15" customWidth="1"/>
    <col min="20" max="20" width="10.109375" style="16" customWidth="1"/>
    <col min="21" max="21" width="7.6640625" style="14" customWidth="1"/>
    <col min="22" max="16384" width="6.6640625" style="7"/>
  </cols>
  <sheetData>
    <row r="1" spans="1:28" x14ac:dyDescent="0.25">
      <c r="A1" s="1" t="s">
        <v>0</v>
      </c>
      <c r="B1" s="1" t="s">
        <v>1</v>
      </c>
      <c r="C1" s="2" t="s">
        <v>2</v>
      </c>
      <c r="D1" s="3" t="s">
        <v>3</v>
      </c>
      <c r="E1" s="3" t="s">
        <v>4</v>
      </c>
      <c r="F1" s="4" t="s">
        <v>5</v>
      </c>
      <c r="G1" s="5" t="s">
        <v>6</v>
      </c>
      <c r="H1" s="4" t="s">
        <v>7</v>
      </c>
      <c r="I1" s="4" t="s">
        <v>8</v>
      </c>
      <c r="J1" s="4" t="s">
        <v>9</v>
      </c>
      <c r="K1" s="4" t="s">
        <v>10</v>
      </c>
      <c r="L1" s="4" t="s">
        <v>11</v>
      </c>
      <c r="M1" s="4" t="s">
        <v>12</v>
      </c>
      <c r="N1" s="4" t="s">
        <v>13</v>
      </c>
      <c r="O1" s="4" t="s">
        <v>14</v>
      </c>
      <c r="P1" s="4" t="s">
        <v>15</v>
      </c>
      <c r="Q1" s="4" t="s">
        <v>16</v>
      </c>
      <c r="R1" s="4" t="s">
        <v>17</v>
      </c>
      <c r="S1" s="6" t="s">
        <v>18</v>
      </c>
      <c r="T1" s="6" t="s">
        <v>19</v>
      </c>
      <c r="U1" s="4" t="s">
        <v>20</v>
      </c>
    </row>
    <row r="2" spans="1:28" ht="11.4" x14ac:dyDescent="0.2">
      <c r="A2" s="8">
        <v>58</v>
      </c>
      <c r="B2" s="8" t="s">
        <v>21</v>
      </c>
      <c r="C2" s="7" t="s">
        <v>22</v>
      </c>
      <c r="D2" s="9">
        <v>441729</v>
      </c>
      <c r="E2" s="9">
        <v>7148326.3799999999</v>
      </c>
      <c r="F2" s="7">
        <v>30</v>
      </c>
      <c r="G2" s="10">
        <v>42863</v>
      </c>
      <c r="H2" s="46">
        <v>17680</v>
      </c>
      <c r="I2" s="11">
        <v>7.35</v>
      </c>
      <c r="J2" s="9">
        <v>24.8</v>
      </c>
      <c r="K2" s="9">
        <v>2077</v>
      </c>
      <c r="L2" s="9">
        <v>38.799999999999997</v>
      </c>
      <c r="M2" s="9">
        <v>843</v>
      </c>
      <c r="N2" s="9">
        <v>768</v>
      </c>
      <c r="O2" s="9">
        <v>6573.1</v>
      </c>
      <c r="P2" s="9">
        <v>427.07</v>
      </c>
      <c r="Q2" s="9">
        <v>1436.8</v>
      </c>
      <c r="R2" s="11">
        <v>0</v>
      </c>
      <c r="S2" s="12">
        <v>2.1999999999999999E-2</v>
      </c>
      <c r="T2" s="12">
        <v>0.67500000000000004</v>
      </c>
      <c r="U2" s="9">
        <v>17.3</v>
      </c>
      <c r="AB2" s="9"/>
    </row>
    <row r="3" spans="1:28" ht="11.4" x14ac:dyDescent="0.2">
      <c r="A3" s="8">
        <v>60</v>
      </c>
      <c r="B3" s="8" t="s">
        <v>23</v>
      </c>
      <c r="C3" s="7" t="s">
        <v>22</v>
      </c>
      <c r="D3" s="9">
        <v>430680.41</v>
      </c>
      <c r="E3" s="9">
        <v>7154965.2000000002</v>
      </c>
      <c r="F3" s="7">
        <v>68</v>
      </c>
      <c r="G3" s="10">
        <v>42863</v>
      </c>
      <c r="H3" s="9">
        <v>270</v>
      </c>
      <c r="I3" s="11">
        <v>7.44</v>
      </c>
      <c r="J3" s="9">
        <v>29.4</v>
      </c>
      <c r="K3" s="9">
        <v>32.299999999999997</v>
      </c>
      <c r="L3" s="9">
        <v>3.39</v>
      </c>
      <c r="M3" s="9">
        <v>12.2</v>
      </c>
      <c r="N3" s="9">
        <v>6.03</v>
      </c>
      <c r="O3" s="9">
        <v>15.8</v>
      </c>
      <c r="P3" s="9">
        <v>106.14</v>
      </c>
      <c r="Q3" s="9">
        <v>2.8</v>
      </c>
      <c r="R3" s="11">
        <v>0.02</v>
      </c>
      <c r="S3" s="12">
        <v>0.624</v>
      </c>
      <c r="T3" s="12">
        <v>6.7299999999999999E-2</v>
      </c>
      <c r="U3" s="9"/>
      <c r="AB3" s="9"/>
    </row>
    <row r="4" spans="1:28" ht="11.4" x14ac:dyDescent="0.2">
      <c r="A4" s="8">
        <v>66</v>
      </c>
      <c r="B4" s="8" t="s">
        <v>24</v>
      </c>
      <c r="C4" s="7" t="s">
        <v>22</v>
      </c>
      <c r="D4" s="9">
        <v>469076</v>
      </c>
      <c r="E4" s="9">
        <v>7167115</v>
      </c>
      <c r="F4" s="7">
        <v>50</v>
      </c>
      <c r="G4" s="10">
        <v>42867</v>
      </c>
      <c r="H4" s="9">
        <v>537</v>
      </c>
      <c r="I4" s="11">
        <v>6.82</v>
      </c>
      <c r="J4" s="9">
        <v>24</v>
      </c>
      <c r="K4" s="9">
        <v>38.9</v>
      </c>
      <c r="L4" s="9">
        <v>3.39</v>
      </c>
      <c r="M4" s="9">
        <v>14.5</v>
      </c>
      <c r="N4" s="9">
        <v>7.12</v>
      </c>
      <c r="O4" s="9">
        <v>87.332499999999996</v>
      </c>
      <c r="P4" s="9">
        <v>59.78</v>
      </c>
      <c r="Q4" s="9">
        <v>61.677</v>
      </c>
      <c r="R4" s="11">
        <v>0.59109999999999996</v>
      </c>
      <c r="S4" s="12">
        <v>8.7999999999999995E-2</v>
      </c>
      <c r="T4" s="12">
        <v>0.157</v>
      </c>
      <c r="U4" s="9"/>
      <c r="AB4" s="9"/>
    </row>
    <row r="5" spans="1:28" ht="11.4" x14ac:dyDescent="0.2">
      <c r="A5" s="8">
        <v>67</v>
      </c>
      <c r="B5" s="8" t="s">
        <v>25</v>
      </c>
      <c r="C5" s="7" t="s">
        <v>22</v>
      </c>
      <c r="D5" s="9">
        <v>440835.61</v>
      </c>
      <c r="E5" s="9">
        <v>7143123.4100000001</v>
      </c>
      <c r="F5" s="7">
        <v>11</v>
      </c>
      <c r="G5" s="10">
        <v>42867</v>
      </c>
      <c r="H5" s="46">
        <v>14700</v>
      </c>
      <c r="I5" s="11">
        <v>7.3</v>
      </c>
      <c r="J5" s="9">
        <v>25</v>
      </c>
      <c r="K5" s="9">
        <v>1861</v>
      </c>
      <c r="L5" s="9">
        <v>27.9</v>
      </c>
      <c r="M5" s="9">
        <v>587</v>
      </c>
      <c r="N5" s="9">
        <v>571</v>
      </c>
      <c r="O5" s="9">
        <v>5406.8</v>
      </c>
      <c r="P5" s="9">
        <v>386.74</v>
      </c>
      <c r="Q5" s="9">
        <v>854.5</v>
      </c>
      <c r="R5" s="11">
        <v>0</v>
      </c>
      <c r="S5" s="12">
        <v>6.6900000000000001E-2</v>
      </c>
      <c r="T5" s="12">
        <v>0.184</v>
      </c>
      <c r="U5" s="9">
        <v>14.8</v>
      </c>
      <c r="AB5" s="9"/>
    </row>
    <row r="6" spans="1:28" ht="11.4" x14ac:dyDescent="0.2">
      <c r="A6" s="8">
        <v>70</v>
      </c>
      <c r="B6" s="8" t="s">
        <v>26</v>
      </c>
      <c r="C6" s="7" t="s">
        <v>22</v>
      </c>
      <c r="D6" s="9">
        <v>480904.4</v>
      </c>
      <c r="E6" s="7">
        <v>7182698</v>
      </c>
      <c r="F6" s="7">
        <v>8</v>
      </c>
      <c r="G6" s="10">
        <v>42865</v>
      </c>
      <c r="H6" s="9">
        <v>808</v>
      </c>
      <c r="I6" s="11">
        <v>6.85</v>
      </c>
      <c r="J6" s="9">
        <v>25.4</v>
      </c>
      <c r="K6" s="9">
        <v>87.9</v>
      </c>
      <c r="L6" s="9">
        <v>5.85</v>
      </c>
      <c r="M6" s="9">
        <v>28.7</v>
      </c>
      <c r="N6" s="9">
        <v>22.3</v>
      </c>
      <c r="O6" s="9">
        <v>137.5</v>
      </c>
      <c r="P6" s="13"/>
      <c r="Q6" s="9">
        <v>86.6</v>
      </c>
      <c r="R6" s="11">
        <v>0.04</v>
      </c>
      <c r="S6" s="12">
        <v>0.34499999999999997</v>
      </c>
      <c r="T6" s="12">
        <v>0.107</v>
      </c>
      <c r="U6" s="9"/>
      <c r="AB6" s="9"/>
    </row>
    <row r="7" spans="1:28" ht="11.4" x14ac:dyDescent="0.2">
      <c r="A7" s="8">
        <v>10</v>
      </c>
      <c r="B7" s="8">
        <v>16</v>
      </c>
      <c r="C7" s="7" t="s">
        <v>27</v>
      </c>
      <c r="D7" s="9">
        <v>448401.18</v>
      </c>
      <c r="E7" s="9">
        <v>7152242.3700000001</v>
      </c>
      <c r="F7" s="7">
        <v>49</v>
      </c>
      <c r="G7" s="10">
        <v>42838</v>
      </c>
      <c r="H7" s="9">
        <v>771</v>
      </c>
      <c r="I7" s="11">
        <v>8.02</v>
      </c>
      <c r="J7" s="9">
        <v>27.7</v>
      </c>
      <c r="K7" s="9">
        <v>112.3</v>
      </c>
      <c r="L7" s="9">
        <v>5.51</v>
      </c>
      <c r="M7" s="9">
        <v>25.6</v>
      </c>
      <c r="N7" s="9">
        <v>11.46</v>
      </c>
      <c r="O7" s="9">
        <v>96.388000000000005</v>
      </c>
      <c r="P7" s="13"/>
      <c r="Q7" s="9">
        <v>17.66</v>
      </c>
      <c r="R7" s="11">
        <v>0.27699999999999997</v>
      </c>
      <c r="S7" s="12">
        <v>3.8000000000000002E-4</v>
      </c>
      <c r="T7" s="12">
        <v>1.07E-3</v>
      </c>
      <c r="U7" s="9"/>
      <c r="AB7" s="9"/>
    </row>
    <row r="8" spans="1:28" ht="11.4" x14ac:dyDescent="0.2">
      <c r="A8" s="8">
        <v>12</v>
      </c>
      <c r="B8" s="8">
        <v>23</v>
      </c>
      <c r="C8" s="7" t="s">
        <v>27</v>
      </c>
      <c r="D8" s="9">
        <v>459761.58</v>
      </c>
      <c r="E8" s="9">
        <v>7158326.2199999997</v>
      </c>
      <c r="F8" s="7">
        <v>57</v>
      </c>
      <c r="G8" s="10">
        <v>42838</v>
      </c>
      <c r="H8" s="9">
        <v>824</v>
      </c>
      <c r="I8" s="11">
        <v>7.87</v>
      </c>
      <c r="J8" s="9">
        <v>27.8</v>
      </c>
      <c r="K8" s="9">
        <v>102.1</v>
      </c>
      <c r="L8" s="9">
        <v>9.7799999999999994</v>
      </c>
      <c r="M8" s="9">
        <v>43.4</v>
      </c>
      <c r="N8" s="9">
        <v>8.0399999999999991</v>
      </c>
      <c r="O8" s="9">
        <v>102.45599999999999</v>
      </c>
      <c r="P8" s="13"/>
      <c r="Q8" s="9">
        <v>29.637999999999998</v>
      </c>
      <c r="R8" s="11">
        <v>0</v>
      </c>
      <c r="S8" s="12">
        <v>0</v>
      </c>
      <c r="T8" s="12">
        <v>7.0699999999999999E-3</v>
      </c>
      <c r="U8" s="9"/>
      <c r="AB8" s="9"/>
    </row>
    <row r="9" spans="1:28" ht="11.4" x14ac:dyDescent="0.2">
      <c r="A9" s="8">
        <v>26</v>
      </c>
      <c r="B9" s="8" t="s">
        <v>28</v>
      </c>
      <c r="C9" s="7" t="s">
        <v>27</v>
      </c>
      <c r="D9" s="9">
        <v>487547.4</v>
      </c>
      <c r="E9" s="9">
        <v>7178932.7999999998</v>
      </c>
      <c r="F9" s="7">
        <v>24</v>
      </c>
      <c r="G9" s="10">
        <v>42844</v>
      </c>
      <c r="H9" s="9">
        <v>442</v>
      </c>
      <c r="I9" s="11">
        <v>7.04</v>
      </c>
      <c r="J9" s="9">
        <v>25.8</v>
      </c>
      <c r="K9" s="9">
        <v>61.5</v>
      </c>
      <c r="L9" s="9">
        <v>4.78</v>
      </c>
      <c r="M9" s="9">
        <v>12.6</v>
      </c>
      <c r="N9" s="9">
        <v>3.88</v>
      </c>
      <c r="O9" s="9">
        <v>56.297499999999999</v>
      </c>
      <c r="P9" s="9">
        <v>134.19999999999999</v>
      </c>
      <c r="Q9" s="9">
        <v>3.1025</v>
      </c>
      <c r="R9" s="11">
        <v>0.42799999999999999</v>
      </c>
      <c r="S9" s="12">
        <v>0.81899999999999995</v>
      </c>
      <c r="T9" s="12">
        <v>0.57799999999999996</v>
      </c>
      <c r="U9" s="9"/>
      <c r="AB9" s="9"/>
    </row>
    <row r="10" spans="1:28" ht="11.4" x14ac:dyDescent="0.2">
      <c r="A10" s="8">
        <v>28</v>
      </c>
      <c r="B10" s="8" t="s">
        <v>29</v>
      </c>
      <c r="C10" s="7" t="s">
        <v>27</v>
      </c>
      <c r="D10" s="9">
        <v>502380</v>
      </c>
      <c r="E10" s="9">
        <v>7190587.2000000002</v>
      </c>
      <c r="F10" s="7">
        <v>12.1</v>
      </c>
      <c r="G10" s="10">
        <v>42844</v>
      </c>
      <c r="H10" s="9">
        <v>220</v>
      </c>
      <c r="I10" s="11">
        <v>6.37</v>
      </c>
      <c r="J10" s="9">
        <v>25.5</v>
      </c>
      <c r="K10" s="9">
        <v>25.7</v>
      </c>
      <c r="L10" s="9">
        <v>3.35</v>
      </c>
      <c r="M10" s="9">
        <v>4.3</v>
      </c>
      <c r="N10" s="9">
        <v>3.06</v>
      </c>
      <c r="O10" s="9">
        <v>49.367699999999999</v>
      </c>
      <c r="P10" s="9">
        <v>18.3</v>
      </c>
      <c r="Q10" s="9">
        <v>4.1706000000000003</v>
      </c>
      <c r="R10" s="11">
        <v>3.4483000000000001</v>
      </c>
      <c r="S10" s="12">
        <v>5.7799999999999997E-2</v>
      </c>
      <c r="T10" s="12">
        <v>2.07E-2</v>
      </c>
      <c r="U10" s="9"/>
      <c r="AB10" s="9"/>
    </row>
    <row r="11" spans="1:28" ht="11.4" x14ac:dyDescent="0.2">
      <c r="A11" s="8">
        <v>30</v>
      </c>
      <c r="B11" s="8" t="s">
        <v>30</v>
      </c>
      <c r="C11" s="7" t="s">
        <v>27</v>
      </c>
      <c r="D11" s="9">
        <v>496744.9</v>
      </c>
      <c r="E11" s="9">
        <v>7203333.7000000002</v>
      </c>
      <c r="F11" s="7">
        <v>11</v>
      </c>
      <c r="G11" s="10">
        <v>42844</v>
      </c>
      <c r="H11" s="9">
        <v>53.7</v>
      </c>
      <c r="I11" s="11">
        <v>4.78</v>
      </c>
      <c r="J11" s="9">
        <v>25.3</v>
      </c>
      <c r="K11" s="9">
        <v>4.83</v>
      </c>
      <c r="L11" s="9">
        <v>0.74</v>
      </c>
      <c r="M11" s="9">
        <v>2.4300000000000002</v>
      </c>
      <c r="N11" s="9">
        <v>0.49</v>
      </c>
      <c r="O11" s="9">
        <v>10.875</v>
      </c>
      <c r="P11" s="9">
        <v>2.44</v>
      </c>
      <c r="Q11" s="9">
        <v>3.9395000000000002</v>
      </c>
      <c r="R11" s="11">
        <v>0</v>
      </c>
      <c r="S11" s="12">
        <v>7.0199999999999999E-2</v>
      </c>
      <c r="T11" s="12">
        <v>1.2200000000000001E-2</v>
      </c>
      <c r="U11" s="9"/>
      <c r="AB11" s="9"/>
    </row>
    <row r="12" spans="1:28" ht="11.4" x14ac:dyDescent="0.2">
      <c r="A12" s="8">
        <v>45</v>
      </c>
      <c r="B12" s="8" t="s">
        <v>31</v>
      </c>
      <c r="C12" s="7" t="s">
        <v>27</v>
      </c>
      <c r="D12" s="9">
        <v>468933.5</v>
      </c>
      <c r="E12" s="9">
        <v>7141017</v>
      </c>
      <c r="F12" s="7">
        <v>9</v>
      </c>
      <c r="G12" s="10">
        <v>42845</v>
      </c>
      <c r="H12" s="46">
        <v>2710</v>
      </c>
      <c r="I12" s="11">
        <v>8.1999999999999993</v>
      </c>
      <c r="J12" s="9">
        <v>27.4</v>
      </c>
      <c r="K12" s="9">
        <v>260</v>
      </c>
      <c r="L12" s="9">
        <v>25.55</v>
      </c>
      <c r="M12" s="9">
        <v>106.7</v>
      </c>
      <c r="N12" s="9">
        <v>56.98</v>
      </c>
      <c r="O12" s="9">
        <v>732.48099999999999</v>
      </c>
      <c r="P12" s="9">
        <v>195.2</v>
      </c>
      <c r="Q12" s="9">
        <v>50.021000000000001</v>
      </c>
      <c r="R12" s="11">
        <v>0</v>
      </c>
      <c r="S12" s="12">
        <v>1.67E-2</v>
      </c>
      <c r="T12" s="12">
        <v>6.7200000000000003E-3</v>
      </c>
      <c r="U12" s="9">
        <v>2.27</v>
      </c>
      <c r="AB12" s="9"/>
    </row>
    <row r="13" spans="1:28" ht="11.4" x14ac:dyDescent="0.2">
      <c r="A13" s="8">
        <v>47</v>
      </c>
      <c r="B13" s="8" t="s">
        <v>32</v>
      </c>
      <c r="C13" s="7" t="s">
        <v>27</v>
      </c>
      <c r="D13" s="9">
        <v>463548.6</v>
      </c>
      <c r="E13" s="9">
        <v>7132522.0999999996</v>
      </c>
      <c r="F13" s="7">
        <v>10</v>
      </c>
      <c r="G13" s="10">
        <v>42845</v>
      </c>
      <c r="H13" s="9">
        <v>679</v>
      </c>
      <c r="I13" s="11">
        <v>7.6</v>
      </c>
      <c r="J13" s="9">
        <v>28.1</v>
      </c>
      <c r="K13" s="9">
        <v>65.7</v>
      </c>
      <c r="L13" s="9">
        <v>11</v>
      </c>
      <c r="M13" s="9">
        <v>43.3</v>
      </c>
      <c r="N13" s="9">
        <v>17.600000000000001</v>
      </c>
      <c r="O13" s="9">
        <v>68.359700000000004</v>
      </c>
      <c r="P13" s="9">
        <v>212.28</v>
      </c>
      <c r="Q13" s="9">
        <v>44.656999999999996</v>
      </c>
      <c r="R13" s="11">
        <v>2.8401999999999998</v>
      </c>
      <c r="S13" s="12">
        <v>2.8299999999999999E-2</v>
      </c>
      <c r="T13" s="12">
        <v>1.9800000000000002E-2</v>
      </c>
      <c r="U13" s="9">
        <v>0.28000000000000003</v>
      </c>
      <c r="AB13" s="9"/>
    </row>
    <row r="14" spans="1:28" ht="11.4" x14ac:dyDescent="0.2">
      <c r="A14" s="8">
        <v>61</v>
      </c>
      <c r="B14" s="8" t="s">
        <v>33</v>
      </c>
      <c r="C14" s="7" t="s">
        <v>27</v>
      </c>
      <c r="D14" s="9">
        <v>440822.18</v>
      </c>
      <c r="E14" s="9">
        <v>7135726.6399999997</v>
      </c>
      <c r="F14" s="7">
        <v>8</v>
      </c>
      <c r="G14" s="10">
        <v>42863</v>
      </c>
      <c r="H14" s="9">
        <v>1005</v>
      </c>
      <c r="I14" s="11">
        <v>6.3</v>
      </c>
      <c r="J14" s="9">
        <v>24.3</v>
      </c>
      <c r="K14" s="9">
        <v>104.9</v>
      </c>
      <c r="L14" s="9">
        <v>10.9</v>
      </c>
      <c r="M14" s="9">
        <v>55.8</v>
      </c>
      <c r="N14" s="9">
        <v>16.2</v>
      </c>
      <c r="O14" s="9">
        <v>113.4</v>
      </c>
      <c r="P14" s="9">
        <v>140.29999999999998</v>
      </c>
      <c r="Q14" s="9">
        <v>120.9</v>
      </c>
      <c r="R14" s="11">
        <v>19.5</v>
      </c>
      <c r="S14" s="12">
        <v>3.2399999999999998E-2</v>
      </c>
      <c r="T14" s="12">
        <v>0.29699999999999999</v>
      </c>
      <c r="U14" s="9"/>
      <c r="AB14" s="9"/>
    </row>
    <row r="15" spans="1:28" ht="11.4" x14ac:dyDescent="0.2">
      <c r="A15" s="8">
        <v>14</v>
      </c>
      <c r="B15" s="8" t="s">
        <v>34</v>
      </c>
      <c r="C15" s="7" t="s">
        <v>35</v>
      </c>
      <c r="D15" s="9">
        <v>440417</v>
      </c>
      <c r="E15" s="9">
        <v>7146262.4000000004</v>
      </c>
      <c r="F15" s="7">
        <v>37</v>
      </c>
      <c r="G15" s="10">
        <v>42842</v>
      </c>
      <c r="H15" s="46">
        <v>9200</v>
      </c>
      <c r="I15" s="11">
        <v>7.43</v>
      </c>
      <c r="J15" s="9">
        <v>25.5</v>
      </c>
      <c r="K15" s="9">
        <v>1064</v>
      </c>
      <c r="L15" s="9">
        <v>17.829999999999998</v>
      </c>
      <c r="M15" s="9">
        <v>271</v>
      </c>
      <c r="N15" s="9">
        <v>366</v>
      </c>
      <c r="O15" s="9">
        <v>2094.48</v>
      </c>
      <c r="P15" s="9">
        <v>414.8</v>
      </c>
      <c r="Q15" s="9">
        <v>242.26999999999998</v>
      </c>
      <c r="R15" s="11">
        <v>24.9</v>
      </c>
      <c r="S15" s="12">
        <v>1.4800000000000001E-2</v>
      </c>
      <c r="T15" s="12">
        <v>2.8400000000000002E-2</v>
      </c>
      <c r="U15" s="9">
        <v>7.22</v>
      </c>
      <c r="AB15" s="9"/>
    </row>
    <row r="16" spans="1:28" ht="11.4" x14ac:dyDescent="0.2">
      <c r="A16" s="8">
        <v>23</v>
      </c>
      <c r="B16" s="8" t="s">
        <v>36</v>
      </c>
      <c r="C16" s="7" t="s">
        <v>35</v>
      </c>
      <c r="D16" s="9">
        <v>476875</v>
      </c>
      <c r="E16" s="9">
        <v>7221686.5999999996</v>
      </c>
      <c r="F16" s="7">
        <v>22</v>
      </c>
      <c r="G16" s="10">
        <v>42843</v>
      </c>
      <c r="H16" s="46">
        <v>3020</v>
      </c>
      <c r="I16" s="11">
        <v>7.58</v>
      </c>
      <c r="J16" s="9">
        <v>27</v>
      </c>
      <c r="K16" s="9">
        <v>278.60000000000002</v>
      </c>
      <c r="L16" s="9">
        <v>12.19</v>
      </c>
      <c r="M16" s="9">
        <v>135</v>
      </c>
      <c r="N16" s="9">
        <v>70.25</v>
      </c>
      <c r="O16" s="9">
        <v>770.947</v>
      </c>
      <c r="P16" s="9">
        <v>207.4</v>
      </c>
      <c r="Q16" s="9">
        <v>141.11500000000001</v>
      </c>
      <c r="R16" s="11">
        <v>0</v>
      </c>
      <c r="S16" s="12">
        <v>2.9399999999999999E-2</v>
      </c>
      <c r="T16" s="12">
        <v>5.45E-2</v>
      </c>
      <c r="U16" s="9">
        <v>2.2000000000000002</v>
      </c>
      <c r="AB16" s="9"/>
    </row>
    <row r="17" spans="1:28" ht="11.4" x14ac:dyDescent="0.2">
      <c r="A17" s="8">
        <v>27</v>
      </c>
      <c r="B17" s="8" t="s">
        <v>37</v>
      </c>
      <c r="C17" s="7" t="s">
        <v>35</v>
      </c>
      <c r="D17" s="9">
        <v>487547.4</v>
      </c>
      <c r="E17" s="9">
        <v>7178932.7999999998</v>
      </c>
      <c r="F17" s="7">
        <v>24</v>
      </c>
      <c r="G17" s="10">
        <v>42844</v>
      </c>
      <c r="H17" s="9">
        <v>118.3</v>
      </c>
      <c r="I17" s="11">
        <v>5.84</v>
      </c>
      <c r="J17" s="9">
        <v>25.3</v>
      </c>
      <c r="K17" s="9">
        <v>6.77</v>
      </c>
      <c r="L17" s="9">
        <v>2.77</v>
      </c>
      <c r="M17" s="9">
        <v>7.91</v>
      </c>
      <c r="N17" s="9">
        <v>1.99</v>
      </c>
      <c r="O17" s="9">
        <v>11.576500000000001</v>
      </c>
      <c r="P17" s="9">
        <v>45.1</v>
      </c>
      <c r="Q17" s="9">
        <v>8.6999999999999994E-2</v>
      </c>
      <c r="R17" s="11">
        <v>0</v>
      </c>
      <c r="S17" s="12">
        <v>3</v>
      </c>
      <c r="T17" s="12">
        <v>0.66700000000000004</v>
      </c>
      <c r="U17" s="9"/>
      <c r="AB17" s="9"/>
    </row>
    <row r="18" spans="1:28" ht="11.4" x14ac:dyDescent="0.2">
      <c r="A18" s="8">
        <v>29</v>
      </c>
      <c r="B18" s="8" t="s">
        <v>38</v>
      </c>
      <c r="C18" s="7" t="s">
        <v>35</v>
      </c>
      <c r="D18" s="9">
        <v>502380</v>
      </c>
      <c r="E18" s="9">
        <v>7190587.2000000002</v>
      </c>
      <c r="F18" s="7">
        <v>12.1</v>
      </c>
      <c r="G18" s="10">
        <v>42844</v>
      </c>
      <c r="H18" s="9">
        <v>162.5</v>
      </c>
      <c r="I18" s="11">
        <v>6.02</v>
      </c>
      <c r="J18" s="9">
        <v>25.4</v>
      </c>
      <c r="K18" s="9">
        <v>18.18</v>
      </c>
      <c r="L18" s="9">
        <v>3.85</v>
      </c>
      <c r="M18" s="9">
        <v>4.05</v>
      </c>
      <c r="N18" s="9">
        <v>2.38</v>
      </c>
      <c r="O18" s="9">
        <v>37.957000000000001</v>
      </c>
      <c r="P18" s="9">
        <v>12.2</v>
      </c>
      <c r="Q18" s="9">
        <v>5.0437000000000003</v>
      </c>
      <c r="R18" s="11">
        <v>0.4677</v>
      </c>
      <c r="S18" s="12">
        <v>2.8799999999999999E-2</v>
      </c>
      <c r="T18" s="12">
        <v>8.6999999999999994E-3</v>
      </c>
      <c r="U18" s="9"/>
      <c r="AB18" s="9"/>
    </row>
    <row r="19" spans="1:28" ht="11.4" x14ac:dyDescent="0.2">
      <c r="A19" s="8">
        <v>31</v>
      </c>
      <c r="B19" s="8" t="s">
        <v>39</v>
      </c>
      <c r="C19" s="7" t="s">
        <v>35</v>
      </c>
      <c r="D19" s="9">
        <v>496744.9</v>
      </c>
      <c r="E19" s="9">
        <v>7203333.7000000002</v>
      </c>
      <c r="F19" s="7">
        <v>11</v>
      </c>
      <c r="G19" s="10">
        <v>42844</v>
      </c>
      <c r="H19" s="9">
        <v>200</v>
      </c>
      <c r="I19" s="11">
        <v>6.2</v>
      </c>
      <c r="J19" s="9">
        <v>24.3</v>
      </c>
      <c r="K19" s="9">
        <v>24.23</v>
      </c>
      <c r="L19" s="9">
        <v>2.87</v>
      </c>
      <c r="M19" s="9">
        <v>5.63</v>
      </c>
      <c r="N19" s="9">
        <v>2.77</v>
      </c>
      <c r="O19" s="9">
        <v>32.456000000000003</v>
      </c>
      <c r="P19" s="9">
        <v>64.66</v>
      </c>
      <c r="Q19" s="9">
        <v>0.25650000000000001</v>
      </c>
      <c r="R19" s="11">
        <v>9.0500000000000011E-2</v>
      </c>
      <c r="S19" s="12">
        <v>1.3</v>
      </c>
      <c r="T19" s="12">
        <v>7.8899999999999998E-2</v>
      </c>
      <c r="U19" s="9"/>
      <c r="AB19" s="9"/>
    </row>
    <row r="20" spans="1:28" ht="11.4" x14ac:dyDescent="0.2">
      <c r="A20" s="8">
        <v>46</v>
      </c>
      <c r="B20" s="8" t="s">
        <v>40</v>
      </c>
      <c r="C20" s="7" t="s">
        <v>35</v>
      </c>
      <c r="D20" s="9">
        <v>468933.5</v>
      </c>
      <c r="E20" s="9">
        <v>7141017</v>
      </c>
      <c r="F20" s="7">
        <v>9</v>
      </c>
      <c r="G20" s="10">
        <v>42845</v>
      </c>
      <c r="H20" s="46">
        <v>1230</v>
      </c>
      <c r="I20" s="11">
        <v>8.15</v>
      </c>
      <c r="J20" s="9">
        <v>26.7</v>
      </c>
      <c r="K20" s="9">
        <v>144.1</v>
      </c>
      <c r="L20" s="9">
        <v>14.7</v>
      </c>
      <c r="M20" s="9">
        <v>55.3</v>
      </c>
      <c r="N20" s="9">
        <v>22.2</v>
      </c>
      <c r="O20" s="9">
        <v>260.471</v>
      </c>
      <c r="P20" s="9">
        <v>190.32</v>
      </c>
      <c r="Q20" s="9">
        <v>9.347999999999999</v>
      </c>
      <c r="R20" s="11">
        <v>0</v>
      </c>
      <c r="S20" s="12">
        <v>4.3499999999999997E-2</v>
      </c>
      <c r="T20" s="12">
        <v>1.9099999999999999E-2</v>
      </c>
      <c r="U20" s="9">
        <v>0.84</v>
      </c>
      <c r="AB20" s="9"/>
    </row>
    <row r="21" spans="1:28" ht="11.4" x14ac:dyDescent="0.2">
      <c r="A21" s="8">
        <v>48</v>
      </c>
      <c r="B21" s="8" t="s">
        <v>41</v>
      </c>
      <c r="C21" s="7" t="s">
        <v>35</v>
      </c>
      <c r="D21" s="9">
        <v>463548.6</v>
      </c>
      <c r="E21" s="9">
        <v>7132522.0999999996</v>
      </c>
      <c r="F21" s="7">
        <v>10</v>
      </c>
      <c r="G21" s="10">
        <v>42845</v>
      </c>
      <c r="H21" s="46">
        <v>1182</v>
      </c>
      <c r="I21" s="11">
        <v>8.0299999999999994</v>
      </c>
      <c r="J21" s="9">
        <v>27.8</v>
      </c>
      <c r="K21" s="9">
        <v>136.6</v>
      </c>
      <c r="L21" s="9">
        <v>15.7</v>
      </c>
      <c r="M21" s="9">
        <v>53.1</v>
      </c>
      <c r="N21" s="9">
        <v>28.9</v>
      </c>
      <c r="O21" s="9">
        <v>156.447</v>
      </c>
      <c r="P21" s="9">
        <v>287.92</v>
      </c>
      <c r="Q21" s="9">
        <v>77.263000000000005</v>
      </c>
      <c r="R21" s="11">
        <v>2.4449999999999998</v>
      </c>
      <c r="S21" s="12">
        <v>9.3500000000000007E-3</v>
      </c>
      <c r="T21" s="12">
        <v>2.8E-3</v>
      </c>
      <c r="U21" s="9">
        <v>0.4</v>
      </c>
      <c r="AB21" s="9"/>
    </row>
    <row r="22" spans="1:28" ht="11.4" x14ac:dyDescent="0.2">
      <c r="A22" s="8">
        <v>68</v>
      </c>
      <c r="B22" s="8" t="s">
        <v>42</v>
      </c>
      <c r="C22" s="7" t="s">
        <v>35</v>
      </c>
      <c r="D22" s="9">
        <v>434755.7</v>
      </c>
      <c r="E22" s="9">
        <v>7168883.2000000002</v>
      </c>
      <c r="F22" s="7">
        <v>106</v>
      </c>
      <c r="G22" s="10">
        <v>42867</v>
      </c>
      <c r="H22" s="46">
        <v>3900</v>
      </c>
      <c r="I22" s="11">
        <v>6.95</v>
      </c>
      <c r="J22" s="9">
        <v>24</v>
      </c>
      <c r="K22" s="9">
        <v>286</v>
      </c>
      <c r="L22" s="9">
        <v>12.98</v>
      </c>
      <c r="M22" s="9">
        <v>234</v>
      </c>
      <c r="N22" s="9">
        <v>116</v>
      </c>
      <c r="O22" s="9">
        <v>946.56000000000006</v>
      </c>
      <c r="P22" s="9">
        <v>237.9</v>
      </c>
      <c r="Q22" s="9">
        <v>46.940999999999995</v>
      </c>
      <c r="R22" s="11">
        <v>0</v>
      </c>
      <c r="S22" s="12">
        <v>0.44700000000000001</v>
      </c>
      <c r="T22" s="12">
        <v>1.71</v>
      </c>
      <c r="U22" s="9">
        <v>2.73</v>
      </c>
      <c r="AB22" s="9"/>
    </row>
  </sheetData>
  <conditionalFormatting sqref="D13:D22 B8:C22 D8:D11 B2:D6">
    <cfRule type="expression" dxfId="23" priority="5" stopIfTrue="1">
      <formula>"same value"</formula>
    </cfRule>
  </conditionalFormatting>
  <conditionalFormatting sqref="B19">
    <cfRule type="expression" dxfId="22" priority="4" stopIfTrue="1">
      <formula>"same value"</formula>
    </cfRule>
  </conditionalFormatting>
  <conditionalFormatting sqref="B6">
    <cfRule type="expression" dxfId="21" priority="3" stopIfTrue="1">
      <formula>"same value"</formula>
    </cfRule>
  </conditionalFormatting>
  <conditionalFormatting sqref="B7:D7">
    <cfRule type="expression" dxfId="20" priority="2" stopIfTrue="1">
      <formula>"same value"</formula>
    </cfRule>
  </conditionalFormatting>
  <conditionalFormatting sqref="B7">
    <cfRule type="expression" dxfId="19" priority="1" stopIfTrue="1">
      <formula>"same value"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selection activeCell="C7" sqref="C7"/>
    </sheetView>
  </sheetViews>
  <sheetFormatPr defaultColWidth="9.109375" defaultRowHeight="11.4" x14ac:dyDescent="0.2"/>
  <cols>
    <col min="1" max="1" width="8.33203125" style="23" customWidth="1"/>
    <col min="2" max="2" width="14.109375" style="23" customWidth="1"/>
    <col min="3" max="3" width="10.5546875" style="23" customWidth="1"/>
    <col min="4" max="4" width="13.6640625" style="23" bestFit="1" customWidth="1"/>
    <col min="5" max="5" width="8.33203125" style="23" customWidth="1"/>
    <col min="6" max="6" width="15.109375" style="23" customWidth="1"/>
    <col min="7" max="7" width="7.44140625" style="16" bestFit="1" customWidth="1"/>
    <col min="8" max="8" width="12" style="16" customWidth="1"/>
    <col min="9" max="9" width="12.33203125" style="16" customWidth="1"/>
    <col min="10" max="10" width="12.44140625" style="16" bestFit="1" customWidth="1"/>
    <col min="11" max="11" width="12.44140625" style="16" customWidth="1"/>
    <col min="12" max="13" width="10.44140625" style="16" bestFit="1" customWidth="1"/>
    <col min="14" max="15" width="12.44140625" style="16" bestFit="1" customWidth="1"/>
    <col min="16" max="16384" width="9.109375" style="16"/>
  </cols>
  <sheetData>
    <row r="1" spans="1:7" ht="12" x14ac:dyDescent="0.25">
      <c r="A1" s="18" t="s">
        <v>46</v>
      </c>
      <c r="B1" s="19"/>
      <c r="C1" s="19"/>
      <c r="D1" s="19"/>
      <c r="E1" s="19"/>
      <c r="F1" s="19"/>
      <c r="G1" s="19"/>
    </row>
    <row r="2" spans="1:7" ht="13.2" x14ac:dyDescent="0.2">
      <c r="A2" s="20" t="s">
        <v>47</v>
      </c>
      <c r="B2" s="20" t="s">
        <v>48</v>
      </c>
      <c r="C2" s="21">
        <v>22.989768000000002</v>
      </c>
      <c r="D2" s="21"/>
      <c r="E2" s="20" t="s">
        <v>49</v>
      </c>
      <c r="F2" s="20" t="s">
        <v>50</v>
      </c>
      <c r="G2" s="21">
        <v>55.847000000000001</v>
      </c>
    </row>
    <row r="3" spans="1:7" ht="13.2" x14ac:dyDescent="0.2">
      <c r="A3" s="20" t="s">
        <v>51</v>
      </c>
      <c r="B3" s="20" t="s">
        <v>52</v>
      </c>
      <c r="C3" s="21">
        <v>39.098300000000002</v>
      </c>
      <c r="D3" s="21"/>
      <c r="E3" s="20" t="s">
        <v>53</v>
      </c>
      <c r="F3" s="20" t="s">
        <v>54</v>
      </c>
      <c r="G3" s="21">
        <v>55.847000000000001</v>
      </c>
    </row>
    <row r="4" spans="1:7" ht="13.2" x14ac:dyDescent="0.2">
      <c r="A4" s="20" t="s">
        <v>55</v>
      </c>
      <c r="B4" s="20" t="s">
        <v>56</v>
      </c>
      <c r="C4" s="21">
        <v>40.078000000000003</v>
      </c>
      <c r="D4" s="21"/>
      <c r="E4" s="20" t="s">
        <v>57</v>
      </c>
      <c r="F4" s="20" t="s">
        <v>58</v>
      </c>
      <c r="G4" s="21">
        <v>54.93085</v>
      </c>
    </row>
    <row r="5" spans="1:7" ht="13.2" x14ac:dyDescent="0.2">
      <c r="A5" s="20" t="s">
        <v>59</v>
      </c>
      <c r="B5" s="20" t="s">
        <v>60</v>
      </c>
      <c r="C5" s="21">
        <v>24.305</v>
      </c>
      <c r="D5" s="21"/>
      <c r="E5" s="20" t="s">
        <v>61</v>
      </c>
      <c r="F5" s="20" t="s">
        <v>62</v>
      </c>
      <c r="G5" s="21">
        <v>26.981999999999999</v>
      </c>
    </row>
    <row r="6" spans="1:7" ht="15" x14ac:dyDescent="0.35">
      <c r="A6" s="20" t="s">
        <v>63</v>
      </c>
      <c r="B6" s="20" t="s">
        <v>64</v>
      </c>
      <c r="C6" s="21">
        <v>35.4527</v>
      </c>
      <c r="D6" s="21"/>
      <c r="E6" s="20" t="s">
        <v>65</v>
      </c>
      <c r="F6" s="20" t="s">
        <v>66</v>
      </c>
      <c r="G6" s="21">
        <v>18.039000000000001</v>
      </c>
    </row>
    <row r="7" spans="1:7" ht="15" x14ac:dyDescent="0.35">
      <c r="A7" s="20" t="s">
        <v>67</v>
      </c>
      <c r="B7" s="20" t="s">
        <v>68</v>
      </c>
      <c r="C7" s="21">
        <v>96.063599999999994</v>
      </c>
      <c r="D7" s="21"/>
      <c r="E7" s="20" t="s">
        <v>69</v>
      </c>
      <c r="F7" s="20" t="s">
        <v>70</v>
      </c>
      <c r="G7" s="21">
        <v>63.545999999999999</v>
      </c>
    </row>
    <row r="8" spans="1:7" ht="15" x14ac:dyDescent="0.35">
      <c r="A8" s="20" t="s">
        <v>71</v>
      </c>
      <c r="B8" s="20" t="s">
        <v>72</v>
      </c>
      <c r="C8" s="21">
        <v>61.017139999999998</v>
      </c>
      <c r="D8" s="21"/>
      <c r="E8" s="20" t="s">
        <v>73</v>
      </c>
      <c r="F8" s="20" t="s">
        <v>74</v>
      </c>
      <c r="G8" s="21">
        <v>65.39</v>
      </c>
    </row>
    <row r="9" spans="1:7" ht="15" x14ac:dyDescent="0.35">
      <c r="A9" s="20" t="s">
        <v>75</v>
      </c>
      <c r="B9" s="20" t="s">
        <v>76</v>
      </c>
      <c r="C9" s="21">
        <v>62.004939999999998</v>
      </c>
      <c r="D9" s="21"/>
      <c r="E9" s="20" t="s">
        <v>77</v>
      </c>
      <c r="F9" s="20" t="s">
        <v>78</v>
      </c>
      <c r="G9" s="21">
        <v>94.971000000000004</v>
      </c>
    </row>
    <row r="10" spans="1:7" ht="15" x14ac:dyDescent="0.35">
      <c r="A10" s="20" t="s">
        <v>79</v>
      </c>
      <c r="B10" s="20" t="s">
        <v>80</v>
      </c>
      <c r="C10" s="21">
        <v>28.0855</v>
      </c>
      <c r="D10" s="21"/>
      <c r="E10" s="20" t="s">
        <v>81</v>
      </c>
      <c r="F10" s="20" t="s">
        <v>82</v>
      </c>
      <c r="G10" s="21">
        <v>46.005540000000003</v>
      </c>
    </row>
    <row r="11" spans="1:7" ht="15" x14ac:dyDescent="0.35">
      <c r="A11" s="20" t="s">
        <v>83</v>
      </c>
      <c r="B11" s="20" t="s">
        <v>84</v>
      </c>
      <c r="C11" s="21">
        <v>60.084299999999999</v>
      </c>
      <c r="D11" s="21"/>
      <c r="E11" s="20" t="s">
        <v>85</v>
      </c>
      <c r="F11" s="20" t="s">
        <v>86</v>
      </c>
      <c r="G11" s="21">
        <v>18.998403199999998</v>
      </c>
    </row>
    <row r="12" spans="1:7" ht="15" x14ac:dyDescent="0.35">
      <c r="A12" s="20" t="s">
        <v>87</v>
      </c>
      <c r="B12" s="20" t="s">
        <v>88</v>
      </c>
      <c r="C12" s="21">
        <v>18.015279999999994</v>
      </c>
      <c r="D12" s="21"/>
      <c r="E12" s="20" t="s">
        <v>89</v>
      </c>
      <c r="F12" s="19" t="s">
        <v>90</v>
      </c>
      <c r="G12" s="19">
        <v>79.903999999999996</v>
      </c>
    </row>
    <row r="13" spans="1:7" ht="15" x14ac:dyDescent="0.35">
      <c r="A13" s="20" t="s">
        <v>91</v>
      </c>
      <c r="B13" s="20" t="s">
        <v>92</v>
      </c>
      <c r="C13" s="21">
        <v>100.0872</v>
      </c>
      <c r="D13" s="21"/>
      <c r="E13" s="20" t="s">
        <v>93</v>
      </c>
      <c r="F13" s="19" t="s">
        <v>94</v>
      </c>
      <c r="G13" s="19">
        <v>87.62</v>
      </c>
    </row>
    <row r="14" spans="1:7" ht="15" x14ac:dyDescent="0.35">
      <c r="A14" s="20" t="s">
        <v>95</v>
      </c>
      <c r="B14" s="20" t="s">
        <v>96</v>
      </c>
      <c r="C14" s="21">
        <v>60.009</v>
      </c>
      <c r="D14" s="19"/>
      <c r="E14" s="19" t="s">
        <v>97</v>
      </c>
      <c r="F14" s="19" t="s">
        <v>98</v>
      </c>
      <c r="G14" s="21">
        <v>207.2</v>
      </c>
    </row>
    <row r="15" spans="1:7" x14ac:dyDescent="0.2">
      <c r="A15" s="22"/>
      <c r="D15" s="24"/>
    </row>
    <row r="16" spans="1:7" ht="12" x14ac:dyDescent="0.25">
      <c r="A16" s="56" t="s">
        <v>99</v>
      </c>
      <c r="B16" s="56"/>
      <c r="C16" s="56"/>
      <c r="D16" s="56"/>
      <c r="G16" s="23"/>
    </row>
    <row r="17" spans="1:7" x14ac:dyDescent="0.2">
      <c r="A17" s="25" t="s">
        <v>100</v>
      </c>
      <c r="B17" s="25" t="s">
        <v>101</v>
      </c>
      <c r="C17" s="25" t="s">
        <v>102</v>
      </c>
      <c r="D17" s="26" t="s">
        <v>103</v>
      </c>
    </row>
    <row r="18" spans="1:7" ht="12" x14ac:dyDescent="0.25">
      <c r="A18" s="27">
        <v>1</v>
      </c>
      <c r="B18" s="28">
        <f>C18/17.8</f>
        <v>0.56179775280898869</v>
      </c>
      <c r="C18" s="29">
        <f>A18*10</f>
        <v>10</v>
      </c>
      <c r="D18" s="30">
        <f>C18/C13</f>
        <v>9.9912875972152287E-2</v>
      </c>
    </row>
    <row r="19" spans="1:7" ht="12" x14ac:dyDescent="0.25">
      <c r="A19" s="29">
        <f>C19/10</f>
        <v>1.78</v>
      </c>
      <c r="B19" s="27">
        <v>1</v>
      </c>
      <c r="C19" s="29">
        <f>B19*17.8</f>
        <v>17.8</v>
      </c>
      <c r="D19" s="30">
        <f>C19/C13</f>
        <v>0.17784491923043108</v>
      </c>
    </row>
    <row r="20" spans="1:7" ht="12" x14ac:dyDescent="0.25">
      <c r="A20" s="31">
        <f>C20/10</f>
        <v>10.00872</v>
      </c>
      <c r="B20" s="28">
        <f>C20/17.8</f>
        <v>5.6228764044943818</v>
      </c>
      <c r="C20" s="32">
        <f>D20*C13</f>
        <v>100.0872</v>
      </c>
      <c r="D20" s="33">
        <v>1</v>
      </c>
    </row>
    <row r="21" spans="1:7" x14ac:dyDescent="0.2">
      <c r="B21" s="34"/>
    </row>
    <row r="22" spans="1:7" x14ac:dyDescent="0.2">
      <c r="G22" s="35"/>
    </row>
    <row r="23" spans="1:7" ht="24" x14ac:dyDescent="0.25">
      <c r="A23" s="36"/>
      <c r="B23" s="37" t="s">
        <v>104</v>
      </c>
      <c r="C23" s="38" t="s">
        <v>105</v>
      </c>
      <c r="G23" s="35"/>
    </row>
    <row r="24" spans="1:7" x14ac:dyDescent="0.2">
      <c r="A24" s="36" t="s">
        <v>10</v>
      </c>
      <c r="B24" s="36">
        <v>485</v>
      </c>
      <c r="C24" s="39">
        <f>B24/$B$29</f>
        <v>0.85689045936395758</v>
      </c>
      <c r="D24" s="40"/>
      <c r="G24" s="35"/>
    </row>
    <row r="25" spans="1:7" x14ac:dyDescent="0.2">
      <c r="A25" s="36" t="s">
        <v>11</v>
      </c>
      <c r="B25" s="36">
        <v>10.6</v>
      </c>
      <c r="C25" s="39">
        <f t="shared" ref="C25:C32" si="0">B25/$B$29</f>
        <v>1.872791519434629E-2</v>
      </c>
      <c r="D25" s="40"/>
      <c r="G25" s="35"/>
    </row>
    <row r="26" spans="1:7" x14ac:dyDescent="0.2">
      <c r="A26" s="36" t="s">
        <v>13</v>
      </c>
      <c r="B26" s="36">
        <v>55.1</v>
      </c>
      <c r="C26" s="39">
        <f t="shared" si="0"/>
        <v>9.7349823321554771E-2</v>
      </c>
      <c r="D26" s="40"/>
      <c r="G26" s="35"/>
    </row>
    <row r="27" spans="1:7" x14ac:dyDescent="0.2">
      <c r="A27" s="36" t="s">
        <v>12</v>
      </c>
      <c r="B27" s="36">
        <v>10.7</v>
      </c>
      <c r="C27" s="39">
        <f t="shared" si="0"/>
        <v>1.8904593639575969E-2</v>
      </c>
      <c r="D27" s="40"/>
      <c r="G27" s="35"/>
    </row>
    <row r="28" spans="1:7" x14ac:dyDescent="0.2">
      <c r="A28" s="36" t="s">
        <v>106</v>
      </c>
      <c r="B28" s="41">
        <v>1.9999999999999999E-6</v>
      </c>
      <c r="C28" s="41">
        <f t="shared" si="0"/>
        <v>3.5335689045936395E-9</v>
      </c>
      <c r="D28" s="42"/>
      <c r="G28" s="35"/>
    </row>
    <row r="29" spans="1:7" x14ac:dyDescent="0.2">
      <c r="A29" s="36" t="s">
        <v>14</v>
      </c>
      <c r="B29" s="36">
        <v>566</v>
      </c>
      <c r="C29" s="39">
        <f t="shared" si="0"/>
        <v>1</v>
      </c>
      <c r="D29" s="40"/>
      <c r="G29" s="43"/>
    </row>
    <row r="30" spans="1:7" x14ac:dyDescent="0.2">
      <c r="A30" s="36" t="s">
        <v>16</v>
      </c>
      <c r="B30" s="36">
        <v>29.3</v>
      </c>
      <c r="C30" s="39">
        <f t="shared" si="0"/>
        <v>5.1766784452296821E-2</v>
      </c>
      <c r="D30" s="40"/>
    </row>
    <row r="31" spans="1:7" x14ac:dyDescent="0.2">
      <c r="A31" s="36" t="s">
        <v>17</v>
      </c>
      <c r="B31" s="41">
        <v>5.0000000000000004E-6</v>
      </c>
      <c r="C31" s="41">
        <f t="shared" si="0"/>
        <v>8.8339222614840999E-9</v>
      </c>
      <c r="D31" s="42"/>
    </row>
    <row r="32" spans="1:7" x14ac:dyDescent="0.2">
      <c r="A32" s="36" t="s">
        <v>15</v>
      </c>
      <c r="B32" s="36">
        <v>2.4</v>
      </c>
      <c r="C32" s="44">
        <f t="shared" si="0"/>
        <v>4.2402826855123671E-3</v>
      </c>
      <c r="D32" s="34"/>
    </row>
    <row r="33" spans="1:4" x14ac:dyDescent="0.2">
      <c r="A33" s="36" t="s">
        <v>20</v>
      </c>
      <c r="B33" s="36">
        <v>0.85</v>
      </c>
      <c r="C33" s="44">
        <f>B33/B29</f>
        <v>1.5017667844522968E-3</v>
      </c>
      <c r="D33" s="34"/>
    </row>
  </sheetData>
  <mergeCells count="1">
    <mergeCell ref="A16: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4"/>
  <sheetViews>
    <sheetView zoomScaleNormal="100" workbookViewId="0">
      <pane xSplit="2" ySplit="2" topLeftCell="C3" activePane="bottomRight" state="frozen"/>
      <selection pane="topRight" activeCell="C1" sqref="C1"/>
      <selection pane="bottomLeft" activeCell="A3" sqref="A3"/>
      <selection pane="bottomRight" activeCell="R7" sqref="R7:R9"/>
    </sheetView>
  </sheetViews>
  <sheetFormatPr defaultRowHeight="14.4" x14ac:dyDescent="0.3"/>
  <cols>
    <col min="40" max="40" width="10" style="7" customWidth="1"/>
    <col min="43" max="43" width="12.44140625" bestFit="1" customWidth="1"/>
  </cols>
  <sheetData>
    <row r="1" spans="1:43" s="7" customFormat="1" ht="12" x14ac:dyDescent="0.25">
      <c r="A1" s="1" t="s">
        <v>0</v>
      </c>
      <c r="B1" s="1" t="s">
        <v>1</v>
      </c>
      <c r="C1" s="57" t="s">
        <v>10</v>
      </c>
      <c r="D1" s="57"/>
      <c r="E1" s="57"/>
      <c r="F1" s="57" t="s">
        <v>11</v>
      </c>
      <c r="G1" s="57"/>
      <c r="H1" s="57"/>
      <c r="I1" s="57" t="s">
        <v>12</v>
      </c>
      <c r="J1" s="57"/>
      <c r="K1" s="57"/>
      <c r="L1" s="57" t="s">
        <v>13</v>
      </c>
      <c r="M1" s="57"/>
      <c r="N1" s="57"/>
      <c r="O1" s="57" t="s">
        <v>14</v>
      </c>
      <c r="P1" s="57"/>
      <c r="Q1" s="57"/>
      <c r="R1" s="4" t="s">
        <v>15</v>
      </c>
      <c r="S1" s="4"/>
      <c r="T1" s="4"/>
      <c r="U1" s="4" t="s">
        <v>16</v>
      </c>
      <c r="V1" s="4"/>
      <c r="W1" s="4"/>
      <c r="X1" s="4" t="s">
        <v>17</v>
      </c>
      <c r="Y1" s="4"/>
      <c r="Z1" s="4"/>
      <c r="AA1" s="6" t="s">
        <v>18</v>
      </c>
      <c r="AB1" s="6"/>
      <c r="AC1" s="6"/>
      <c r="AD1" s="6" t="s">
        <v>19</v>
      </c>
      <c r="AE1" s="6"/>
      <c r="AF1" s="6"/>
      <c r="AG1" s="4" t="s">
        <v>20</v>
      </c>
      <c r="AJ1" s="4" t="s">
        <v>112</v>
      </c>
      <c r="AK1" s="4" t="s">
        <v>113</v>
      </c>
      <c r="AL1" s="4" t="s">
        <v>111</v>
      </c>
      <c r="AN1" s="4" t="s">
        <v>7</v>
      </c>
      <c r="AO1" s="4" t="s">
        <v>116</v>
      </c>
      <c r="AP1" s="4" t="s">
        <v>123</v>
      </c>
      <c r="AQ1" s="4" t="s">
        <v>124</v>
      </c>
    </row>
    <row r="2" spans="1:43" s="7" customFormat="1" ht="12" x14ac:dyDescent="0.25">
      <c r="A2" s="1"/>
      <c r="B2" s="1"/>
      <c r="C2" s="4" t="s">
        <v>43</v>
      </c>
      <c r="D2" s="4" t="s">
        <v>44</v>
      </c>
      <c r="E2" s="4" t="s">
        <v>45</v>
      </c>
      <c r="F2" s="4" t="s">
        <v>43</v>
      </c>
      <c r="G2" s="4" t="s">
        <v>44</v>
      </c>
      <c r="H2" s="4" t="s">
        <v>45</v>
      </c>
      <c r="I2" s="4" t="s">
        <v>43</v>
      </c>
      <c r="J2" s="4" t="s">
        <v>44</v>
      </c>
      <c r="K2" s="4" t="s">
        <v>45</v>
      </c>
      <c r="L2" s="4" t="s">
        <v>43</v>
      </c>
      <c r="M2" s="4" t="s">
        <v>44</v>
      </c>
      <c r="N2" s="4" t="s">
        <v>45</v>
      </c>
      <c r="O2" s="4" t="s">
        <v>43</v>
      </c>
      <c r="P2" s="4" t="s">
        <v>44</v>
      </c>
      <c r="Q2" s="4" t="s">
        <v>45</v>
      </c>
      <c r="R2" s="4" t="s">
        <v>43</v>
      </c>
      <c r="S2" s="4" t="s">
        <v>44</v>
      </c>
      <c r="T2" s="4" t="s">
        <v>45</v>
      </c>
      <c r="U2" s="4" t="s">
        <v>43</v>
      </c>
      <c r="V2" s="4" t="s">
        <v>44</v>
      </c>
      <c r="W2" s="4" t="s">
        <v>45</v>
      </c>
      <c r="X2" s="4" t="s">
        <v>43</v>
      </c>
      <c r="Y2" s="4" t="s">
        <v>44</v>
      </c>
      <c r="Z2" s="4" t="s">
        <v>45</v>
      </c>
      <c r="AA2" s="4" t="s">
        <v>43</v>
      </c>
      <c r="AB2" s="4" t="s">
        <v>44</v>
      </c>
      <c r="AC2" s="4" t="s">
        <v>45</v>
      </c>
      <c r="AD2" s="4" t="s">
        <v>43</v>
      </c>
      <c r="AE2" s="4" t="s">
        <v>44</v>
      </c>
      <c r="AF2" s="4" t="s">
        <v>45</v>
      </c>
      <c r="AG2" s="4" t="s">
        <v>43</v>
      </c>
      <c r="AH2" s="4" t="s">
        <v>44</v>
      </c>
      <c r="AI2" s="4" t="s">
        <v>45</v>
      </c>
      <c r="AL2" s="4" t="s">
        <v>114</v>
      </c>
      <c r="AP2" s="4" t="s">
        <v>114</v>
      </c>
      <c r="AQ2" s="4" t="s">
        <v>114</v>
      </c>
    </row>
    <row r="3" spans="1:43" s="7" customFormat="1" ht="11.4" x14ac:dyDescent="0.2">
      <c r="A3" s="8">
        <v>58</v>
      </c>
      <c r="B3" s="8" t="s">
        <v>21</v>
      </c>
      <c r="C3" s="9">
        <v>2077</v>
      </c>
      <c r="D3" s="9">
        <f>C3/C$27</f>
        <v>90.344539362032705</v>
      </c>
      <c r="E3" s="9">
        <f>D3*1</f>
        <v>90.344539362032705</v>
      </c>
      <c r="F3" s="9">
        <v>38.799999999999997</v>
      </c>
      <c r="G3" s="9">
        <f>F3/C$28</f>
        <v>0.99237051227291195</v>
      </c>
      <c r="H3" s="9">
        <f>G3*1</f>
        <v>0.99237051227291195</v>
      </c>
      <c r="I3" s="9">
        <v>843</v>
      </c>
      <c r="J3" s="9">
        <f>I3/C$29</f>
        <v>21.03398373172314</v>
      </c>
      <c r="K3" s="9">
        <f>J3*2</f>
        <v>42.06796746344628</v>
      </c>
      <c r="L3" s="9">
        <v>768</v>
      </c>
      <c r="M3" s="9">
        <f>L3/C$30</f>
        <v>31.598436535692244</v>
      </c>
      <c r="N3" s="9">
        <f>M3*2</f>
        <v>63.196873071384488</v>
      </c>
      <c r="O3" s="9">
        <v>6573.1</v>
      </c>
      <c r="P3" s="9">
        <f>O3/C$31</f>
        <v>185.40477876156118</v>
      </c>
      <c r="Q3" s="9">
        <f>P3*1</f>
        <v>185.40477876156118</v>
      </c>
      <c r="R3" s="9">
        <v>427.07</v>
      </c>
      <c r="S3" s="9">
        <f>R3/C$33</f>
        <v>6.9991808858953402</v>
      </c>
      <c r="T3" s="9">
        <f>S3*1</f>
        <v>6.9991808858953402</v>
      </c>
      <c r="U3" s="9">
        <v>1436.8</v>
      </c>
      <c r="V3" s="9">
        <f>U3/C$32</f>
        <v>14.956757814614486</v>
      </c>
      <c r="W3" s="9">
        <f>V3*2</f>
        <v>29.913515629228971</v>
      </c>
      <c r="X3" s="11">
        <v>0</v>
      </c>
      <c r="Y3" s="11">
        <f>X3/C$34</f>
        <v>0</v>
      </c>
      <c r="Z3" s="11">
        <f>Y3*1</f>
        <v>0</v>
      </c>
      <c r="AA3" s="12">
        <v>2.1999999999999999E-2</v>
      </c>
      <c r="AB3" s="12">
        <f>AA3/G$27</f>
        <v>3.9393342525113255E-4</v>
      </c>
      <c r="AC3" s="12">
        <f>AB3*2.5</f>
        <v>9.8483356312783132E-4</v>
      </c>
      <c r="AD3" s="12">
        <v>0.67500000000000004</v>
      </c>
      <c r="AE3" s="12">
        <f>AD3/G$29</f>
        <v>1.2288176862364228E-2</v>
      </c>
      <c r="AF3" s="12">
        <f>AE3*6</f>
        <v>7.3729061174185373E-2</v>
      </c>
      <c r="AG3" s="9">
        <v>17.3</v>
      </c>
      <c r="AH3" s="7">
        <f>AG3/G$37</f>
        <v>0.21650981177412898</v>
      </c>
      <c r="AI3" s="7">
        <f>AH3*1</f>
        <v>0.21650981177412898</v>
      </c>
      <c r="AJ3" s="45">
        <f>AF3+AC3+N3+K3+H3+E3</f>
        <v>196.6764643038737</v>
      </c>
      <c r="AK3" s="11">
        <f>AI3+Z3+W3+T3+Q3</f>
        <v>222.53398508845962</v>
      </c>
      <c r="AL3" s="46">
        <f>(AJ3-AK3)/(AJ3+AK3)*100</f>
        <v>-6.1681479605452809</v>
      </c>
      <c r="AN3" s="9">
        <v>17680</v>
      </c>
      <c r="AO3" s="7">
        <f>AN3/100</f>
        <v>176.8</v>
      </c>
      <c r="AP3" s="9">
        <f>Q3/AO3*100</f>
        <v>104.86695631310022</v>
      </c>
      <c r="AQ3" s="9">
        <f>T3/AO3*100</f>
        <v>3.9588127182665946</v>
      </c>
    </row>
    <row r="4" spans="1:43" s="7" customFormat="1" ht="11.4" x14ac:dyDescent="0.2">
      <c r="A4" s="8">
        <v>60</v>
      </c>
      <c r="B4" s="8" t="s">
        <v>23</v>
      </c>
      <c r="C4" s="9">
        <v>32.299999999999997</v>
      </c>
      <c r="D4" s="9">
        <f t="shared" ref="D4:D23" si="0">C4/C$27</f>
        <v>1.4049728557504362</v>
      </c>
      <c r="E4" s="9">
        <f t="shared" ref="E4:E23" si="1">D4*1</f>
        <v>1.4049728557504362</v>
      </c>
      <c r="F4" s="9">
        <v>3.39</v>
      </c>
      <c r="G4" s="9">
        <f t="shared" ref="G4:G23" si="2">F4/C$28</f>
        <v>8.6704537025906497E-2</v>
      </c>
      <c r="H4" s="9">
        <f t="shared" ref="H4:H23" si="3">G4*1</f>
        <v>8.6704537025906497E-2</v>
      </c>
      <c r="I4" s="9">
        <v>12.2</v>
      </c>
      <c r="J4" s="9">
        <f t="shared" ref="J4:J23" si="4">I4/C$29</f>
        <v>0.30440640750536452</v>
      </c>
      <c r="K4" s="9">
        <f t="shared" ref="K4:K23" si="5">J4*2</f>
        <v>0.60881281501072904</v>
      </c>
      <c r="L4" s="9">
        <v>6.03</v>
      </c>
      <c r="M4" s="9">
        <f t="shared" ref="M4:M23" si="6">L4/C$30</f>
        <v>0.24809709936227115</v>
      </c>
      <c r="N4" s="9">
        <f t="shared" ref="N4:N23" si="7">M4*2</f>
        <v>0.49619419872454229</v>
      </c>
      <c r="O4" s="9">
        <v>15.8</v>
      </c>
      <c r="P4" s="9">
        <f t="shared" ref="P4:P23" si="8">O4/C$31</f>
        <v>0.44566422303519904</v>
      </c>
      <c r="Q4" s="9">
        <f t="shared" ref="Q4:Q23" si="9">P4*1</f>
        <v>0.44566422303519904</v>
      </c>
      <c r="R4" s="9">
        <v>106.14</v>
      </c>
      <c r="S4" s="9">
        <f t="shared" ref="S4:S23" si="10">R4/C$33</f>
        <v>1.7395112258621104</v>
      </c>
      <c r="T4" s="9">
        <f t="shared" ref="T4:T23" si="11">S4*1</f>
        <v>1.7395112258621104</v>
      </c>
      <c r="U4" s="9">
        <v>2.8</v>
      </c>
      <c r="V4" s="9">
        <f t="shared" ref="V4:V23" si="12">U4/C$32</f>
        <v>2.9147356542956956E-2</v>
      </c>
      <c r="W4" s="9">
        <f t="shared" ref="W4:W23" si="13">V4*2</f>
        <v>5.8294713085913913E-2</v>
      </c>
      <c r="X4" s="11">
        <v>0.02</v>
      </c>
      <c r="Y4" s="11">
        <f t="shared" ref="Y4:Y23" si="14">X4/C$34</f>
        <v>3.2255494481568729E-4</v>
      </c>
      <c r="Z4" s="11">
        <f t="shared" ref="Z4:Z23" si="15">Y4*1</f>
        <v>3.2255494481568729E-4</v>
      </c>
      <c r="AA4" s="12">
        <v>0.624</v>
      </c>
      <c r="AB4" s="12">
        <f t="shared" ref="AB4:AB23" si="16">AA4/G$27</f>
        <v>1.117338442530485E-2</v>
      </c>
      <c r="AC4" s="12">
        <f t="shared" ref="AC4:AC23" si="17">AB4*2.5</f>
        <v>2.7933461063262124E-2</v>
      </c>
      <c r="AD4" s="12">
        <v>6.7299999999999999E-2</v>
      </c>
      <c r="AE4" s="12">
        <f t="shared" ref="AE4:AE23" si="18">AD4/G$29</f>
        <v>1.2251767449438704E-3</v>
      </c>
      <c r="AF4" s="12">
        <f t="shared" ref="AF4:AF23" si="19">AE4*6</f>
        <v>7.3510604696632228E-3</v>
      </c>
      <c r="AG4" s="9"/>
      <c r="AH4" s="7">
        <f t="shared" ref="AH4:AH23" si="20">AG4/G$37</f>
        <v>0</v>
      </c>
      <c r="AI4" s="7">
        <f t="shared" ref="AI4:AI23" si="21">AH4*1</f>
        <v>0</v>
      </c>
      <c r="AJ4" s="45">
        <f t="shared" ref="AJ4:AJ23" si="22">AF4+AC4+N4+K4+H4+E4</f>
        <v>2.6319689280445395</v>
      </c>
      <c r="AK4" s="11">
        <f t="shared" ref="AK4:AK23" si="23">AI4+Z4+W4+T4+Q4</f>
        <v>2.2437927169280387</v>
      </c>
      <c r="AL4" s="47">
        <f t="shared" ref="AL4:AL23" si="24">(AJ4-AK4)/(AJ4+AK4)*100</f>
        <v>7.9613451062922893</v>
      </c>
      <c r="AN4" s="9">
        <v>270</v>
      </c>
      <c r="AO4" s="7">
        <f t="shared" ref="AO4:AO23" si="25">AN4/100</f>
        <v>2.7</v>
      </c>
      <c r="AP4" s="9">
        <f t="shared" ref="AP4:AP23" si="26">Q4/AO4*100</f>
        <v>16.506082334637</v>
      </c>
      <c r="AQ4" s="9">
        <f t="shared" ref="AQ4:AQ23" si="27">T4/AO4*100</f>
        <v>64.426341698596673</v>
      </c>
    </row>
    <row r="5" spans="1:43" s="7" customFormat="1" ht="11.4" x14ac:dyDescent="0.2">
      <c r="A5" s="8">
        <v>66</v>
      </c>
      <c r="B5" s="8" t="s">
        <v>24</v>
      </c>
      <c r="C5" s="9">
        <v>38.9</v>
      </c>
      <c r="D5" s="9">
        <f t="shared" si="0"/>
        <v>1.6920570925291631</v>
      </c>
      <c r="E5" s="9">
        <f t="shared" si="1"/>
        <v>1.6920570925291631</v>
      </c>
      <c r="F5" s="9">
        <v>3.39</v>
      </c>
      <c r="G5" s="9">
        <f t="shared" si="2"/>
        <v>8.6704537025906497E-2</v>
      </c>
      <c r="H5" s="9">
        <f t="shared" si="3"/>
        <v>8.6704537025906497E-2</v>
      </c>
      <c r="I5" s="9">
        <v>14.5</v>
      </c>
      <c r="J5" s="9">
        <f t="shared" si="4"/>
        <v>0.36179450072358899</v>
      </c>
      <c r="K5" s="9">
        <f t="shared" si="5"/>
        <v>0.72358900144717797</v>
      </c>
      <c r="L5" s="9">
        <v>7.12</v>
      </c>
      <c r="M5" s="9">
        <f t="shared" si="6"/>
        <v>0.29294383871631352</v>
      </c>
      <c r="N5" s="9">
        <f t="shared" si="7"/>
        <v>0.58588767743262704</v>
      </c>
      <c r="O5" s="9">
        <v>87.332499999999996</v>
      </c>
      <c r="P5" s="9">
        <f t="shared" si="8"/>
        <v>2.463352579634273</v>
      </c>
      <c r="Q5" s="9">
        <f t="shared" si="9"/>
        <v>2.463352579634273</v>
      </c>
      <c r="R5" s="9">
        <v>59.78</v>
      </c>
      <c r="S5" s="9">
        <f t="shared" si="10"/>
        <v>0.97972471341659084</v>
      </c>
      <c r="T5" s="9">
        <f t="shared" si="11"/>
        <v>0.97972471341659084</v>
      </c>
      <c r="U5" s="9">
        <v>61.677</v>
      </c>
      <c r="V5" s="9">
        <f t="shared" si="12"/>
        <v>0.64204339624998441</v>
      </c>
      <c r="W5" s="9">
        <f t="shared" si="13"/>
        <v>1.2840867924999688</v>
      </c>
      <c r="X5" s="11">
        <v>0.59109999999999996</v>
      </c>
      <c r="Y5" s="11">
        <f t="shared" si="14"/>
        <v>9.5331113940276373E-3</v>
      </c>
      <c r="Z5" s="11">
        <f t="shared" si="15"/>
        <v>9.5331113940276373E-3</v>
      </c>
      <c r="AA5" s="12">
        <v>8.7999999999999995E-2</v>
      </c>
      <c r="AB5" s="12">
        <f t="shared" si="16"/>
        <v>1.5757337010045302E-3</v>
      </c>
      <c r="AC5" s="12">
        <f t="shared" si="17"/>
        <v>3.9393342525113253E-3</v>
      </c>
      <c r="AD5" s="12">
        <v>0.157</v>
      </c>
      <c r="AE5" s="12">
        <f t="shared" si="18"/>
        <v>2.8581389146536055E-3</v>
      </c>
      <c r="AF5" s="12">
        <f t="shared" si="19"/>
        <v>1.7148833487921632E-2</v>
      </c>
      <c r="AG5" s="9"/>
      <c r="AH5" s="7">
        <f t="shared" si="20"/>
        <v>0</v>
      </c>
      <c r="AI5" s="7">
        <f t="shared" si="21"/>
        <v>0</v>
      </c>
      <c r="AJ5" s="45">
        <f t="shared" si="22"/>
        <v>3.1093264761753074</v>
      </c>
      <c r="AK5" s="11">
        <f t="shared" si="23"/>
        <v>4.7366971969448599</v>
      </c>
      <c r="AL5" s="47">
        <f t="shared" si="24"/>
        <v>-20.74134349536557</v>
      </c>
      <c r="AN5" s="9">
        <v>537</v>
      </c>
      <c r="AO5" s="7">
        <f t="shared" si="25"/>
        <v>5.37</v>
      </c>
      <c r="AP5" s="9">
        <f t="shared" si="26"/>
        <v>45.872487516466911</v>
      </c>
      <c r="AQ5" s="9">
        <f t="shared" si="27"/>
        <v>18.244408071072453</v>
      </c>
    </row>
    <row r="6" spans="1:43" s="7" customFormat="1" ht="11.4" x14ac:dyDescent="0.2">
      <c r="A6" s="8">
        <v>67</v>
      </c>
      <c r="B6" s="8" t="s">
        <v>25</v>
      </c>
      <c r="C6" s="9">
        <v>1861</v>
      </c>
      <c r="D6" s="9">
        <f t="shared" si="0"/>
        <v>80.949055249274366</v>
      </c>
      <c r="E6" s="9">
        <f t="shared" si="1"/>
        <v>80.949055249274366</v>
      </c>
      <c r="F6" s="9">
        <v>27.9</v>
      </c>
      <c r="G6" s="9">
        <f t="shared" si="2"/>
        <v>0.71358601269108879</v>
      </c>
      <c r="H6" s="9">
        <f t="shared" si="3"/>
        <v>0.71358601269108879</v>
      </c>
      <c r="I6" s="9">
        <v>587</v>
      </c>
      <c r="J6" s="9">
        <f t="shared" si="4"/>
        <v>14.646439443085981</v>
      </c>
      <c r="K6" s="9">
        <f t="shared" si="5"/>
        <v>29.292878886171962</v>
      </c>
      <c r="L6" s="9">
        <v>571</v>
      </c>
      <c r="M6" s="9">
        <f t="shared" si="6"/>
        <v>23.493108413906604</v>
      </c>
      <c r="N6" s="9">
        <f t="shared" si="7"/>
        <v>46.986216827813209</v>
      </c>
      <c r="O6" s="9">
        <v>5406.8</v>
      </c>
      <c r="P6" s="9">
        <f t="shared" si="8"/>
        <v>152.5074253865009</v>
      </c>
      <c r="Q6" s="9">
        <f t="shared" si="9"/>
        <v>152.5074253865009</v>
      </c>
      <c r="R6" s="9">
        <v>386.74</v>
      </c>
      <c r="S6" s="9">
        <f t="shared" si="10"/>
        <v>6.3382190643481495</v>
      </c>
      <c r="T6" s="9">
        <f t="shared" si="11"/>
        <v>6.3382190643481495</v>
      </c>
      <c r="U6" s="9">
        <v>854.5</v>
      </c>
      <c r="V6" s="9">
        <f t="shared" si="12"/>
        <v>8.895148630698829</v>
      </c>
      <c r="W6" s="9">
        <f t="shared" si="13"/>
        <v>17.790297261397658</v>
      </c>
      <c r="X6" s="11">
        <v>0</v>
      </c>
      <c r="Y6" s="11">
        <f t="shared" si="14"/>
        <v>0</v>
      </c>
      <c r="Z6" s="11">
        <f t="shared" si="15"/>
        <v>0</v>
      </c>
      <c r="AA6" s="12">
        <v>6.6900000000000001E-2</v>
      </c>
      <c r="AB6" s="12">
        <f t="shared" si="16"/>
        <v>1.1979157340591259E-3</v>
      </c>
      <c r="AC6" s="12">
        <f t="shared" si="17"/>
        <v>2.9947893351478148E-3</v>
      </c>
      <c r="AD6" s="12">
        <v>0.184</v>
      </c>
      <c r="AE6" s="12">
        <f t="shared" si="18"/>
        <v>3.3496659891481743E-3</v>
      </c>
      <c r="AF6" s="12">
        <f t="shared" si="19"/>
        <v>2.0097995934889045E-2</v>
      </c>
      <c r="AG6" s="9">
        <v>14.8</v>
      </c>
      <c r="AH6" s="7">
        <f t="shared" si="20"/>
        <v>0.18522226672006409</v>
      </c>
      <c r="AI6" s="7">
        <f t="shared" si="21"/>
        <v>0.18522226672006409</v>
      </c>
      <c r="AJ6" s="45">
        <f t="shared" si="22"/>
        <v>157.96482976122067</v>
      </c>
      <c r="AK6" s="11">
        <f t="shared" si="23"/>
        <v>176.82116397896678</v>
      </c>
      <c r="AL6" s="46">
        <f t="shared" si="24"/>
        <v>-5.6323545698807438</v>
      </c>
      <c r="AN6" s="9">
        <v>14700</v>
      </c>
      <c r="AO6" s="7">
        <f t="shared" si="25"/>
        <v>147</v>
      </c>
      <c r="AP6" s="9">
        <f t="shared" si="26"/>
        <v>103.7465478819734</v>
      </c>
      <c r="AQ6" s="9">
        <f t="shared" si="27"/>
        <v>4.3117136492164283</v>
      </c>
    </row>
    <row r="7" spans="1:43" s="7" customFormat="1" ht="11.4" x14ac:dyDescent="0.2">
      <c r="A7" s="8">
        <v>70</v>
      </c>
      <c r="B7" s="8" t="s">
        <v>26</v>
      </c>
      <c r="C7" s="9">
        <v>87.9</v>
      </c>
      <c r="D7" s="9">
        <f t="shared" si="0"/>
        <v>3.8234400625530451</v>
      </c>
      <c r="E7" s="9">
        <f t="shared" si="1"/>
        <v>3.8234400625530451</v>
      </c>
      <c r="F7" s="9">
        <v>5.85</v>
      </c>
      <c r="G7" s="9">
        <f t="shared" si="2"/>
        <v>0.14962287362877669</v>
      </c>
      <c r="H7" s="9">
        <f t="shared" si="3"/>
        <v>0.14962287362877669</v>
      </c>
      <c r="I7" s="9">
        <v>28.7</v>
      </c>
      <c r="J7" s="9">
        <f t="shared" si="4"/>
        <v>0.71610359798393131</v>
      </c>
      <c r="K7" s="9">
        <f t="shared" si="5"/>
        <v>1.4322071959678626</v>
      </c>
      <c r="L7" s="9">
        <v>22.3</v>
      </c>
      <c r="M7" s="9">
        <f t="shared" si="6"/>
        <v>0.9175066858671056</v>
      </c>
      <c r="N7" s="9">
        <f t="shared" si="7"/>
        <v>1.8350133717342112</v>
      </c>
      <c r="O7" s="9">
        <v>137.5</v>
      </c>
      <c r="P7" s="9">
        <f t="shared" si="8"/>
        <v>3.8784070042620167</v>
      </c>
      <c r="Q7" s="9">
        <f t="shared" si="9"/>
        <v>3.8784070042620167</v>
      </c>
      <c r="R7" s="13">
        <f>S7*C$33</f>
        <v>96.73599986367671</v>
      </c>
      <c r="S7" s="13">
        <f>T7*1</f>
        <v>1.5853905945718976</v>
      </c>
      <c r="T7" s="13">
        <f>AJ7-Q7-W7-Z7-AI7</f>
        <v>1.5853905945718976</v>
      </c>
      <c r="U7" s="9">
        <v>86.6</v>
      </c>
      <c r="V7" s="9">
        <f t="shared" si="12"/>
        <v>0.90148609879288299</v>
      </c>
      <c r="W7" s="9">
        <f t="shared" si="13"/>
        <v>1.802972197585766</v>
      </c>
      <c r="X7" s="11">
        <v>0.04</v>
      </c>
      <c r="Y7" s="11">
        <f t="shared" si="14"/>
        <v>6.4510988963137458E-4</v>
      </c>
      <c r="Z7" s="11">
        <f t="shared" si="15"/>
        <v>6.4510988963137458E-4</v>
      </c>
      <c r="AA7" s="12">
        <v>0.34499999999999997</v>
      </c>
      <c r="AB7" s="12">
        <f t="shared" si="16"/>
        <v>6.1775923505291239E-3</v>
      </c>
      <c r="AC7" s="12">
        <f t="shared" si="17"/>
        <v>1.5443980876322809E-2</v>
      </c>
      <c r="AD7" s="12">
        <v>0.107</v>
      </c>
      <c r="AE7" s="12">
        <f t="shared" si="18"/>
        <v>1.9479035915155145E-3</v>
      </c>
      <c r="AF7" s="12">
        <f t="shared" si="19"/>
        <v>1.1687421549093087E-2</v>
      </c>
      <c r="AG7" s="9"/>
      <c r="AH7" s="7">
        <f t="shared" si="20"/>
        <v>0</v>
      </c>
      <c r="AI7" s="7">
        <f t="shared" si="21"/>
        <v>0</v>
      </c>
      <c r="AJ7" s="45">
        <f t="shared" si="22"/>
        <v>7.2674149063093116</v>
      </c>
      <c r="AK7" s="11">
        <f t="shared" si="23"/>
        <v>7.2674149063093116</v>
      </c>
      <c r="AL7" s="9">
        <f t="shared" si="24"/>
        <v>0</v>
      </c>
      <c r="AN7" s="9">
        <v>808</v>
      </c>
      <c r="AO7" s="7">
        <f t="shared" si="25"/>
        <v>8.08</v>
      </c>
      <c r="AP7" s="9">
        <f t="shared" si="26"/>
        <v>48.000086686411095</v>
      </c>
      <c r="AQ7" s="9">
        <f t="shared" si="27"/>
        <v>19.621170724899724</v>
      </c>
    </row>
    <row r="8" spans="1:43" s="7" customFormat="1" ht="11.4" x14ac:dyDescent="0.2">
      <c r="A8" s="8">
        <v>10</v>
      </c>
      <c r="B8" s="8">
        <v>16</v>
      </c>
      <c r="C8" s="9">
        <v>112.3</v>
      </c>
      <c r="D8" s="9">
        <f t="shared" si="0"/>
        <v>4.884781786401672</v>
      </c>
      <c r="E8" s="9">
        <f t="shared" si="1"/>
        <v>4.884781786401672</v>
      </c>
      <c r="F8" s="9">
        <v>5.51</v>
      </c>
      <c r="G8" s="9">
        <f t="shared" si="2"/>
        <v>0.14092684336659136</v>
      </c>
      <c r="H8" s="9">
        <f t="shared" si="3"/>
        <v>0.14092684336659136</v>
      </c>
      <c r="I8" s="9">
        <v>25.6</v>
      </c>
      <c r="J8" s="9">
        <f t="shared" si="4"/>
        <v>0.6387544288637157</v>
      </c>
      <c r="K8" s="9">
        <f t="shared" si="5"/>
        <v>1.2775088577274314</v>
      </c>
      <c r="L8" s="9">
        <v>11.46</v>
      </c>
      <c r="M8" s="9">
        <f t="shared" si="6"/>
        <v>0.47150792018103277</v>
      </c>
      <c r="N8" s="9">
        <f t="shared" si="7"/>
        <v>0.94301584036206554</v>
      </c>
      <c r="O8" s="9">
        <v>96.388000000000005</v>
      </c>
      <c r="P8" s="9">
        <f t="shared" si="8"/>
        <v>2.7187774132858711</v>
      </c>
      <c r="Q8" s="9">
        <f t="shared" si="9"/>
        <v>2.7187774132858711</v>
      </c>
      <c r="R8" s="13">
        <f t="shared" ref="R8:R9" si="28">S8*C$33</f>
        <v>253.55363355068863</v>
      </c>
      <c r="S8" s="13">
        <f t="shared" ref="S8:S9" si="29">T8*1</f>
        <v>4.1554493303142142</v>
      </c>
      <c r="T8" s="13">
        <f t="shared" ref="T8:T9" si="30">AJ8-Q8-W8-Z8-AI8</f>
        <v>4.1554493303142142</v>
      </c>
      <c r="U8" s="9">
        <v>17.66</v>
      </c>
      <c r="V8" s="9">
        <f t="shared" si="12"/>
        <v>0.1838365416245071</v>
      </c>
      <c r="W8" s="9">
        <f t="shared" si="13"/>
        <v>0.36767308324901421</v>
      </c>
      <c r="X8" s="11">
        <v>0.27699999999999997</v>
      </c>
      <c r="Y8" s="11">
        <f t="shared" si="14"/>
        <v>4.4673859856972685E-3</v>
      </c>
      <c r="Z8" s="11">
        <f t="shared" si="15"/>
        <v>4.4673859856972685E-3</v>
      </c>
      <c r="AA8" s="12">
        <v>3.8000000000000002E-4</v>
      </c>
      <c r="AB8" s="12">
        <f t="shared" si="16"/>
        <v>6.8043046179741077E-6</v>
      </c>
      <c r="AC8" s="12">
        <f t="shared" si="17"/>
        <v>1.7010761544935268E-5</v>
      </c>
      <c r="AD8" s="12">
        <v>1.07E-3</v>
      </c>
      <c r="AE8" s="12">
        <f t="shared" si="18"/>
        <v>1.9479035915155145E-5</v>
      </c>
      <c r="AF8" s="12">
        <f t="shared" si="19"/>
        <v>1.1687421549093086E-4</v>
      </c>
      <c r="AG8" s="9"/>
      <c r="AH8" s="7">
        <f t="shared" si="20"/>
        <v>0</v>
      </c>
      <c r="AI8" s="7">
        <f t="shared" si="21"/>
        <v>0</v>
      </c>
      <c r="AJ8" s="45">
        <f t="shared" si="22"/>
        <v>7.2463672128347962</v>
      </c>
      <c r="AK8" s="11">
        <f t="shared" si="23"/>
        <v>7.2463672128347962</v>
      </c>
      <c r="AL8" s="9">
        <f t="shared" si="24"/>
        <v>0</v>
      </c>
      <c r="AN8" s="9">
        <v>771</v>
      </c>
      <c r="AO8" s="7">
        <f t="shared" si="25"/>
        <v>7.71</v>
      </c>
      <c r="AP8" s="9">
        <f t="shared" si="26"/>
        <v>35.263001469336849</v>
      </c>
      <c r="AQ8" s="9">
        <f t="shared" si="27"/>
        <v>53.896878473595514</v>
      </c>
    </row>
    <row r="9" spans="1:43" s="7" customFormat="1" ht="11.4" x14ac:dyDescent="0.2">
      <c r="A9" s="8">
        <v>12</v>
      </c>
      <c r="B9" s="8">
        <v>23</v>
      </c>
      <c r="C9" s="9">
        <v>102.1</v>
      </c>
      <c r="D9" s="9">
        <f t="shared" si="0"/>
        <v>4.4411061477436391</v>
      </c>
      <c r="E9" s="9">
        <f t="shared" si="1"/>
        <v>4.4411061477436391</v>
      </c>
      <c r="F9" s="9">
        <v>9.7799999999999994</v>
      </c>
      <c r="G9" s="9">
        <f t="shared" si="2"/>
        <v>0.250138752835801</v>
      </c>
      <c r="H9" s="9">
        <f t="shared" si="3"/>
        <v>0.250138752835801</v>
      </c>
      <c r="I9" s="9">
        <v>43.4</v>
      </c>
      <c r="J9" s="9">
        <f t="shared" si="4"/>
        <v>1.0828883676830181</v>
      </c>
      <c r="K9" s="9">
        <f t="shared" si="5"/>
        <v>2.1657767353660362</v>
      </c>
      <c r="L9" s="9">
        <v>8.0399999999999991</v>
      </c>
      <c r="M9" s="9">
        <f t="shared" si="6"/>
        <v>0.33079613248302814</v>
      </c>
      <c r="N9" s="9">
        <f t="shared" si="7"/>
        <v>0.66159226496605628</v>
      </c>
      <c r="O9" s="9">
        <v>102.45599999999999</v>
      </c>
      <c r="P9" s="9">
        <f t="shared" si="8"/>
        <v>2.8899350402085027</v>
      </c>
      <c r="Q9" s="9">
        <f t="shared" si="9"/>
        <v>2.8899350402085027</v>
      </c>
      <c r="R9" s="13">
        <f t="shared" si="28"/>
        <v>244.82526810939063</v>
      </c>
      <c r="S9" s="13">
        <f t="shared" si="29"/>
        <v>4.0124015663367807</v>
      </c>
      <c r="T9" s="13">
        <f t="shared" si="30"/>
        <v>4.0124015663367807</v>
      </c>
      <c r="U9" s="9">
        <v>29.637999999999998</v>
      </c>
      <c r="V9" s="9">
        <f t="shared" si="12"/>
        <v>0.30852476900719938</v>
      </c>
      <c r="W9" s="9">
        <f t="shared" si="13"/>
        <v>0.61704953801439877</v>
      </c>
      <c r="X9" s="11">
        <v>0</v>
      </c>
      <c r="Y9" s="11">
        <f t="shared" si="14"/>
        <v>0</v>
      </c>
      <c r="Z9" s="11">
        <f t="shared" si="15"/>
        <v>0</v>
      </c>
      <c r="AA9" s="12">
        <v>0</v>
      </c>
      <c r="AB9" s="12">
        <f t="shared" si="16"/>
        <v>0</v>
      </c>
      <c r="AC9" s="12">
        <f t="shared" si="17"/>
        <v>0</v>
      </c>
      <c r="AD9" s="12">
        <v>7.0699999999999999E-3</v>
      </c>
      <c r="AE9" s="12">
        <f t="shared" si="18"/>
        <v>1.2870727469172606E-4</v>
      </c>
      <c r="AF9" s="12">
        <f t="shared" si="19"/>
        <v>7.7224364815035634E-4</v>
      </c>
      <c r="AG9" s="9"/>
      <c r="AH9" s="7">
        <f t="shared" si="20"/>
        <v>0</v>
      </c>
      <c r="AI9" s="7">
        <f t="shared" si="21"/>
        <v>0</v>
      </c>
      <c r="AJ9" s="45">
        <f t="shared" si="22"/>
        <v>7.5193861445596824</v>
      </c>
      <c r="AK9" s="11">
        <f t="shared" si="23"/>
        <v>7.5193861445596824</v>
      </c>
      <c r="AL9" s="9">
        <f t="shared" si="24"/>
        <v>0</v>
      </c>
      <c r="AN9" s="9">
        <v>824</v>
      </c>
      <c r="AO9" s="7">
        <f t="shared" si="25"/>
        <v>8.24</v>
      </c>
      <c r="AP9" s="9">
        <f t="shared" si="26"/>
        <v>35.072027186996394</v>
      </c>
      <c r="AQ9" s="9">
        <f t="shared" si="27"/>
        <v>48.694193766223066</v>
      </c>
    </row>
    <row r="10" spans="1:43" s="7" customFormat="1" ht="11.4" x14ac:dyDescent="0.2">
      <c r="A10" s="8">
        <v>26</v>
      </c>
      <c r="B10" s="8" t="s">
        <v>28</v>
      </c>
      <c r="C10" s="9">
        <v>61.5</v>
      </c>
      <c r="D10" s="9">
        <f t="shared" si="0"/>
        <v>2.6751031154381373</v>
      </c>
      <c r="E10" s="9">
        <f t="shared" si="1"/>
        <v>2.6751031154381373</v>
      </c>
      <c r="F10" s="9">
        <v>4.78</v>
      </c>
      <c r="G10" s="9">
        <f t="shared" si="2"/>
        <v>0.12225595486248762</v>
      </c>
      <c r="H10" s="9">
        <f t="shared" si="3"/>
        <v>0.12225595486248762</v>
      </c>
      <c r="I10" s="9">
        <v>12.6</v>
      </c>
      <c r="J10" s="9">
        <f t="shared" si="4"/>
        <v>0.31438694545636009</v>
      </c>
      <c r="K10" s="9">
        <f t="shared" si="5"/>
        <v>0.62877389091272018</v>
      </c>
      <c r="L10" s="9">
        <v>3.88</v>
      </c>
      <c r="M10" s="9">
        <f t="shared" si="6"/>
        <v>0.15963793458136186</v>
      </c>
      <c r="N10" s="9">
        <f t="shared" si="7"/>
        <v>0.31927586916272371</v>
      </c>
      <c r="O10" s="9">
        <v>56.297499999999999</v>
      </c>
      <c r="P10" s="9">
        <f t="shared" si="8"/>
        <v>1.5879608605268427</v>
      </c>
      <c r="Q10" s="9">
        <f t="shared" si="9"/>
        <v>1.5879608605268427</v>
      </c>
      <c r="R10" s="9">
        <v>134.19999999999999</v>
      </c>
      <c r="S10" s="9">
        <f t="shared" si="10"/>
        <v>2.199382009710714</v>
      </c>
      <c r="T10" s="9">
        <f t="shared" si="11"/>
        <v>2.199382009710714</v>
      </c>
      <c r="U10" s="9">
        <v>3.1025</v>
      </c>
      <c r="V10" s="9">
        <f t="shared" si="12"/>
        <v>3.2296312026615703E-2</v>
      </c>
      <c r="W10" s="9">
        <f t="shared" si="13"/>
        <v>6.4592624053231407E-2</v>
      </c>
      <c r="X10" s="11">
        <v>0.42799999999999999</v>
      </c>
      <c r="Y10" s="11">
        <f t="shared" si="14"/>
        <v>6.9026758190557074E-3</v>
      </c>
      <c r="Z10" s="11">
        <f t="shared" si="15"/>
        <v>6.9026758190557074E-3</v>
      </c>
      <c r="AA10" s="12">
        <v>0.81899999999999995</v>
      </c>
      <c r="AB10" s="12">
        <f t="shared" si="16"/>
        <v>1.4665067058212616E-2</v>
      </c>
      <c r="AC10" s="12">
        <f t="shared" si="17"/>
        <v>3.6662667645531541E-2</v>
      </c>
      <c r="AD10" s="12">
        <v>0.57799999999999996</v>
      </c>
      <c r="AE10" s="12">
        <f t="shared" si="18"/>
        <v>1.0522320335476331E-2</v>
      </c>
      <c r="AF10" s="12">
        <f t="shared" si="19"/>
        <v>6.3133922012857988E-2</v>
      </c>
      <c r="AG10" s="9"/>
      <c r="AH10" s="7">
        <f t="shared" si="20"/>
        <v>0</v>
      </c>
      <c r="AI10" s="7">
        <f t="shared" si="21"/>
        <v>0</v>
      </c>
      <c r="AJ10" s="45">
        <f t="shared" si="22"/>
        <v>3.8452054200344579</v>
      </c>
      <c r="AK10" s="11">
        <f t="shared" si="23"/>
        <v>3.858838170109844</v>
      </c>
      <c r="AL10" s="9">
        <f t="shared" si="24"/>
        <v>-0.17695577544273425</v>
      </c>
      <c r="AN10" s="9">
        <v>442</v>
      </c>
      <c r="AO10" s="7">
        <f t="shared" si="25"/>
        <v>4.42</v>
      </c>
      <c r="AP10" s="9">
        <f t="shared" si="26"/>
        <v>35.926716301512279</v>
      </c>
      <c r="AQ10" s="9">
        <f t="shared" si="27"/>
        <v>49.759773975355522</v>
      </c>
    </row>
    <row r="11" spans="1:43" s="7" customFormat="1" ht="11.4" x14ac:dyDescent="0.2">
      <c r="A11" s="8">
        <v>28</v>
      </c>
      <c r="B11" s="8" t="s">
        <v>29</v>
      </c>
      <c r="C11" s="9">
        <v>25.7</v>
      </c>
      <c r="D11" s="9">
        <f t="shared" si="0"/>
        <v>1.1178886189717094</v>
      </c>
      <c r="E11" s="9">
        <f t="shared" si="1"/>
        <v>1.1178886189717094</v>
      </c>
      <c r="F11" s="9">
        <v>3.35</v>
      </c>
      <c r="G11" s="9">
        <f t="shared" si="2"/>
        <v>8.568147464211999E-2</v>
      </c>
      <c r="H11" s="9">
        <f t="shared" si="3"/>
        <v>8.568147464211999E-2</v>
      </c>
      <c r="I11" s="9">
        <v>4.3</v>
      </c>
      <c r="J11" s="9">
        <f t="shared" si="4"/>
        <v>0.10729078297320224</v>
      </c>
      <c r="K11" s="9">
        <f t="shared" si="5"/>
        <v>0.21458156594640448</v>
      </c>
      <c r="L11" s="9">
        <v>3.06</v>
      </c>
      <c r="M11" s="9">
        <f t="shared" si="6"/>
        <v>0.12590002057189878</v>
      </c>
      <c r="N11" s="9">
        <f t="shared" si="7"/>
        <v>0.25180004114379756</v>
      </c>
      <c r="O11" s="9">
        <v>49.367699999999999</v>
      </c>
      <c r="P11" s="9">
        <f t="shared" si="8"/>
        <v>1.3924947888313162</v>
      </c>
      <c r="Q11" s="9">
        <f t="shared" si="9"/>
        <v>1.3924947888313162</v>
      </c>
      <c r="R11" s="9">
        <v>18.3</v>
      </c>
      <c r="S11" s="9">
        <f t="shared" si="10"/>
        <v>0.29991572859691557</v>
      </c>
      <c r="T11" s="9">
        <f t="shared" si="11"/>
        <v>0.29991572859691557</v>
      </c>
      <c r="U11" s="9">
        <v>4.1706000000000003</v>
      </c>
      <c r="V11" s="9">
        <f t="shared" si="12"/>
        <v>4.3414987570734392E-2</v>
      </c>
      <c r="W11" s="9">
        <f t="shared" si="13"/>
        <v>8.6829975141468785E-2</v>
      </c>
      <c r="X11" s="11">
        <v>3.4483000000000001</v>
      </c>
      <c r="Y11" s="11">
        <f t="shared" si="14"/>
        <v>5.5613310810396721E-2</v>
      </c>
      <c r="Z11" s="11">
        <f t="shared" si="15"/>
        <v>5.5613310810396721E-2</v>
      </c>
      <c r="AA11" s="12">
        <v>5.7799999999999997E-2</v>
      </c>
      <c r="AB11" s="12">
        <f t="shared" si="16"/>
        <v>1.0349705445234301E-3</v>
      </c>
      <c r="AC11" s="12">
        <f t="shared" si="17"/>
        <v>2.5874263613085754E-3</v>
      </c>
      <c r="AD11" s="12">
        <v>2.07E-2</v>
      </c>
      <c r="AE11" s="12">
        <f t="shared" si="18"/>
        <v>3.7683742377916962E-4</v>
      </c>
      <c r="AF11" s="12">
        <f t="shared" si="19"/>
        <v>2.2610245426750177E-3</v>
      </c>
      <c r="AG11" s="9"/>
      <c r="AH11" s="7">
        <f t="shared" si="20"/>
        <v>0</v>
      </c>
      <c r="AI11" s="7">
        <f t="shared" si="21"/>
        <v>0</v>
      </c>
      <c r="AJ11" s="45">
        <f t="shared" si="22"/>
        <v>1.6748001516080151</v>
      </c>
      <c r="AK11" s="11">
        <f t="shared" si="23"/>
        <v>1.8348538033800972</v>
      </c>
      <c r="AL11" s="9">
        <f t="shared" si="24"/>
        <v>-4.5603826993998959</v>
      </c>
      <c r="AN11" s="9">
        <v>220</v>
      </c>
      <c r="AO11" s="7">
        <f t="shared" si="25"/>
        <v>2.2000000000000002</v>
      </c>
      <c r="AP11" s="9">
        <f t="shared" si="26"/>
        <v>63.295217674150727</v>
      </c>
      <c r="AQ11" s="9">
        <f t="shared" si="27"/>
        <v>13.632533118041614</v>
      </c>
    </row>
    <row r="12" spans="1:43" s="7" customFormat="1" ht="11.4" x14ac:dyDescent="0.2">
      <c r="A12" s="8">
        <v>30</v>
      </c>
      <c r="B12" s="8" t="s">
        <v>30</v>
      </c>
      <c r="C12" s="9">
        <v>4.83</v>
      </c>
      <c r="D12" s="9">
        <f t="shared" si="0"/>
        <v>0.21009346418806835</v>
      </c>
      <c r="E12" s="9">
        <f t="shared" si="1"/>
        <v>0.21009346418806835</v>
      </c>
      <c r="F12" s="9">
        <v>0.74</v>
      </c>
      <c r="G12" s="9">
        <f t="shared" si="2"/>
        <v>1.8926654100050386E-2</v>
      </c>
      <c r="H12" s="9">
        <f t="shared" si="3"/>
        <v>1.8926654100050386E-2</v>
      </c>
      <c r="I12" s="9">
        <v>2.4300000000000002</v>
      </c>
      <c r="J12" s="9">
        <f t="shared" si="4"/>
        <v>6.0631768052298016E-2</v>
      </c>
      <c r="K12" s="9">
        <f t="shared" si="5"/>
        <v>0.12126353610459603</v>
      </c>
      <c r="L12" s="9">
        <v>0.49</v>
      </c>
      <c r="M12" s="9">
        <f t="shared" si="6"/>
        <v>2.0160460810532813E-2</v>
      </c>
      <c r="N12" s="9">
        <f t="shared" si="7"/>
        <v>4.0320921621065625E-2</v>
      </c>
      <c r="O12" s="9">
        <v>10.875</v>
      </c>
      <c r="P12" s="9">
        <f t="shared" si="8"/>
        <v>0.30674673579163225</v>
      </c>
      <c r="Q12" s="9">
        <f t="shared" si="9"/>
        <v>0.30674673579163225</v>
      </c>
      <c r="R12" s="9">
        <v>2.44</v>
      </c>
      <c r="S12" s="9">
        <f t="shared" si="10"/>
        <v>3.9988763812922073E-2</v>
      </c>
      <c r="T12" s="9">
        <f t="shared" si="11"/>
        <v>3.9988763812922073E-2</v>
      </c>
      <c r="U12" s="9">
        <v>3.9395000000000002</v>
      </c>
      <c r="V12" s="9">
        <f t="shared" si="12"/>
        <v>4.1009289678921056E-2</v>
      </c>
      <c r="W12" s="9">
        <f t="shared" si="13"/>
        <v>8.2018579357842111E-2</v>
      </c>
      <c r="X12" s="11">
        <v>0</v>
      </c>
      <c r="Y12" s="11">
        <f t="shared" si="14"/>
        <v>0</v>
      </c>
      <c r="Z12" s="11">
        <f t="shared" si="15"/>
        <v>0</v>
      </c>
      <c r="AA12" s="12">
        <v>7.0199999999999999E-2</v>
      </c>
      <c r="AB12" s="12">
        <f t="shared" si="16"/>
        <v>1.2570057478467956E-3</v>
      </c>
      <c r="AC12" s="12">
        <f t="shared" si="17"/>
        <v>3.1425143696169888E-3</v>
      </c>
      <c r="AD12" s="12">
        <v>1.2200000000000001E-2</v>
      </c>
      <c r="AE12" s="12">
        <f t="shared" si="18"/>
        <v>2.220974188456942E-4</v>
      </c>
      <c r="AF12" s="12">
        <f t="shared" si="19"/>
        <v>1.3325845130741651E-3</v>
      </c>
      <c r="AG12" s="9"/>
      <c r="AH12" s="7">
        <f t="shared" si="20"/>
        <v>0</v>
      </c>
      <c r="AI12" s="7">
        <f t="shared" si="21"/>
        <v>0</v>
      </c>
      <c r="AJ12" s="45">
        <f t="shared" si="22"/>
        <v>0.39507967489647156</v>
      </c>
      <c r="AK12" s="11">
        <f t="shared" si="23"/>
        <v>0.42875407896239642</v>
      </c>
      <c r="AL12" s="9">
        <f t="shared" si="24"/>
        <v>-4.0875242011137205</v>
      </c>
      <c r="AN12" s="9">
        <v>53.7</v>
      </c>
      <c r="AO12" s="7">
        <f t="shared" si="25"/>
        <v>0.53700000000000003</v>
      </c>
      <c r="AP12" s="9">
        <f t="shared" si="26"/>
        <v>57.122297167901714</v>
      </c>
      <c r="AQ12" s="9">
        <f t="shared" si="27"/>
        <v>7.4466971718663082</v>
      </c>
    </row>
    <row r="13" spans="1:43" s="7" customFormat="1" ht="11.4" x14ac:dyDescent="0.2">
      <c r="A13" s="8">
        <v>45</v>
      </c>
      <c r="B13" s="8" t="s">
        <v>31</v>
      </c>
      <c r="C13" s="9">
        <v>260</v>
      </c>
      <c r="D13" s="9">
        <f t="shared" si="0"/>
        <v>11.309379024616515</v>
      </c>
      <c r="E13" s="9">
        <f t="shared" si="1"/>
        <v>11.309379024616515</v>
      </c>
      <c r="F13" s="9">
        <v>25.55</v>
      </c>
      <c r="G13" s="9">
        <f t="shared" si="2"/>
        <v>0.6534810976436316</v>
      </c>
      <c r="H13" s="9">
        <f t="shared" si="3"/>
        <v>0.6534810976436316</v>
      </c>
      <c r="I13" s="9">
        <v>106.7</v>
      </c>
      <c r="J13" s="9">
        <f t="shared" si="4"/>
        <v>2.6623084984280649</v>
      </c>
      <c r="K13" s="9">
        <f t="shared" si="5"/>
        <v>5.3246169968561299</v>
      </c>
      <c r="L13" s="9">
        <v>56.98</v>
      </c>
      <c r="M13" s="9">
        <f t="shared" si="6"/>
        <v>2.3443735856819585</v>
      </c>
      <c r="N13" s="9">
        <f t="shared" si="7"/>
        <v>4.6887471713639171</v>
      </c>
      <c r="O13" s="9">
        <v>732.48099999999999</v>
      </c>
      <c r="P13" s="9">
        <f t="shared" si="8"/>
        <v>20.660795933737063</v>
      </c>
      <c r="Q13" s="9">
        <f t="shared" si="9"/>
        <v>20.660795933737063</v>
      </c>
      <c r="R13" s="9">
        <v>195.2</v>
      </c>
      <c r="S13" s="9">
        <f t="shared" si="10"/>
        <v>3.1991011050337659</v>
      </c>
      <c r="T13" s="9">
        <f t="shared" si="11"/>
        <v>3.1991011050337659</v>
      </c>
      <c r="U13" s="9">
        <v>50.021000000000001</v>
      </c>
      <c r="V13" s="9">
        <f t="shared" si="12"/>
        <v>0.5207071148697322</v>
      </c>
      <c r="W13" s="9">
        <f t="shared" si="13"/>
        <v>1.0414142297394644</v>
      </c>
      <c r="X13" s="11">
        <v>0</v>
      </c>
      <c r="Y13" s="11">
        <f t="shared" si="14"/>
        <v>0</v>
      </c>
      <c r="Z13" s="11">
        <f t="shared" si="15"/>
        <v>0</v>
      </c>
      <c r="AA13" s="12">
        <v>1.67E-2</v>
      </c>
      <c r="AB13" s="12">
        <f t="shared" si="16"/>
        <v>2.9903128189517789E-4</v>
      </c>
      <c r="AC13" s="12">
        <f t="shared" si="17"/>
        <v>7.4757820473794474E-4</v>
      </c>
      <c r="AD13" s="12">
        <v>6.7200000000000003E-3</v>
      </c>
      <c r="AE13" s="12">
        <f t="shared" si="18"/>
        <v>1.2233562742975943E-4</v>
      </c>
      <c r="AF13" s="12">
        <f t="shared" si="19"/>
        <v>7.3401376457855666E-4</v>
      </c>
      <c r="AG13" s="9">
        <v>2.27</v>
      </c>
      <c r="AH13" s="7">
        <f t="shared" si="20"/>
        <v>2.8409090909090912E-2</v>
      </c>
      <c r="AI13" s="7">
        <f t="shared" si="21"/>
        <v>2.8409090909090912E-2</v>
      </c>
      <c r="AJ13" s="45">
        <f t="shared" si="22"/>
        <v>21.977705882449509</v>
      </c>
      <c r="AK13" s="11">
        <f t="shared" si="23"/>
        <v>24.929720359419385</v>
      </c>
      <c r="AL13" s="46">
        <f t="shared" si="24"/>
        <v>-6.2932774476868447</v>
      </c>
      <c r="AN13" s="9">
        <v>2710</v>
      </c>
      <c r="AO13" s="7">
        <f t="shared" si="25"/>
        <v>27.1</v>
      </c>
      <c r="AP13" s="9">
        <f t="shared" si="26"/>
        <v>76.239099386483616</v>
      </c>
      <c r="AQ13" s="9">
        <f t="shared" si="27"/>
        <v>11.80480112558585</v>
      </c>
    </row>
    <row r="14" spans="1:43" s="7" customFormat="1" ht="11.4" x14ac:dyDescent="0.2">
      <c r="A14" s="8">
        <v>47</v>
      </c>
      <c r="B14" s="8" t="s">
        <v>32</v>
      </c>
      <c r="C14" s="9">
        <v>65.7</v>
      </c>
      <c r="D14" s="9">
        <f t="shared" si="0"/>
        <v>2.8577930842973274</v>
      </c>
      <c r="E14" s="9">
        <f t="shared" si="1"/>
        <v>2.8577930842973274</v>
      </c>
      <c r="F14" s="9">
        <v>11</v>
      </c>
      <c r="G14" s="9">
        <f t="shared" si="2"/>
        <v>0.2813421555412895</v>
      </c>
      <c r="H14" s="9">
        <f t="shared" si="3"/>
        <v>0.2813421555412895</v>
      </c>
      <c r="I14" s="9">
        <v>43.3</v>
      </c>
      <c r="J14" s="9">
        <f t="shared" si="4"/>
        <v>1.080393233195269</v>
      </c>
      <c r="K14" s="9">
        <f t="shared" si="5"/>
        <v>2.1607864663905381</v>
      </c>
      <c r="L14" s="9">
        <v>17.600000000000001</v>
      </c>
      <c r="M14" s="9">
        <f t="shared" si="6"/>
        <v>0.72413083727628069</v>
      </c>
      <c r="N14" s="9">
        <f t="shared" si="7"/>
        <v>1.4482616745525614</v>
      </c>
      <c r="O14" s="9">
        <v>68.359700000000004</v>
      </c>
      <c r="P14" s="9">
        <f t="shared" si="8"/>
        <v>1.9281944675581832</v>
      </c>
      <c r="Q14" s="9">
        <f t="shared" si="9"/>
        <v>1.9281944675581832</v>
      </c>
      <c r="R14" s="9">
        <v>212.28</v>
      </c>
      <c r="S14" s="9">
        <f t="shared" si="10"/>
        <v>3.4790224517242208</v>
      </c>
      <c r="T14" s="9">
        <f t="shared" si="11"/>
        <v>3.4790224517242208</v>
      </c>
      <c r="U14" s="9">
        <v>44.656999999999996</v>
      </c>
      <c r="V14" s="9">
        <f t="shared" si="12"/>
        <v>0.46486910754958172</v>
      </c>
      <c r="W14" s="9">
        <f t="shared" si="13"/>
        <v>0.92973821509916343</v>
      </c>
      <c r="X14" s="11">
        <v>2.8401999999999998</v>
      </c>
      <c r="Y14" s="11">
        <f t="shared" si="14"/>
        <v>4.580602771327575E-2</v>
      </c>
      <c r="Z14" s="11">
        <f t="shared" si="15"/>
        <v>4.580602771327575E-2</v>
      </c>
      <c r="AA14" s="12">
        <v>2.8299999999999999E-2</v>
      </c>
      <c r="AB14" s="12">
        <f t="shared" si="16"/>
        <v>5.0674163339122955E-4</v>
      </c>
      <c r="AC14" s="12">
        <f t="shared" si="17"/>
        <v>1.2668540834780738E-3</v>
      </c>
      <c r="AD14" s="12">
        <v>1.9800000000000002E-2</v>
      </c>
      <c r="AE14" s="12">
        <f t="shared" si="18"/>
        <v>3.6045318796268405E-4</v>
      </c>
      <c r="AF14" s="12">
        <f t="shared" si="19"/>
        <v>2.1627191277761044E-3</v>
      </c>
      <c r="AG14" s="9">
        <v>0.28000000000000003</v>
      </c>
      <c r="AH14" s="7">
        <f t="shared" si="20"/>
        <v>3.5042050460552666E-3</v>
      </c>
      <c r="AI14" s="7">
        <f t="shared" si="21"/>
        <v>3.5042050460552666E-3</v>
      </c>
      <c r="AJ14" s="45">
        <f t="shared" si="22"/>
        <v>6.7516129539929706</v>
      </c>
      <c r="AK14" s="11">
        <f t="shared" si="23"/>
        <v>6.3862653671408989</v>
      </c>
      <c r="AL14" s="9">
        <f t="shared" si="24"/>
        <v>2.7808720549981487</v>
      </c>
      <c r="AN14" s="9">
        <v>679</v>
      </c>
      <c r="AO14" s="7">
        <f t="shared" si="25"/>
        <v>6.79</v>
      </c>
      <c r="AP14" s="9">
        <f t="shared" si="26"/>
        <v>28.397562114258957</v>
      </c>
      <c r="AQ14" s="9">
        <f t="shared" si="27"/>
        <v>51.23744406073962</v>
      </c>
    </row>
    <row r="15" spans="1:43" s="7" customFormat="1" ht="11.4" x14ac:dyDescent="0.2">
      <c r="A15" s="8">
        <v>61</v>
      </c>
      <c r="B15" s="8" t="s">
        <v>33</v>
      </c>
      <c r="C15" s="9">
        <v>104.9</v>
      </c>
      <c r="D15" s="9">
        <f t="shared" si="0"/>
        <v>4.5628994603164328</v>
      </c>
      <c r="E15" s="9">
        <f t="shared" si="1"/>
        <v>4.5628994603164328</v>
      </c>
      <c r="F15" s="9">
        <v>10.9</v>
      </c>
      <c r="G15" s="9">
        <f t="shared" si="2"/>
        <v>0.27878449958182322</v>
      </c>
      <c r="H15" s="9">
        <f t="shared" si="3"/>
        <v>0.27878449958182322</v>
      </c>
      <c r="I15" s="9">
        <v>55.8</v>
      </c>
      <c r="J15" s="9">
        <f t="shared" si="4"/>
        <v>1.3922850441638803</v>
      </c>
      <c r="K15" s="9">
        <f t="shared" si="5"/>
        <v>2.7845700883277607</v>
      </c>
      <c r="L15" s="9">
        <v>16.2</v>
      </c>
      <c r="M15" s="9">
        <f t="shared" si="6"/>
        <v>0.66652952067475824</v>
      </c>
      <c r="N15" s="9">
        <f t="shared" si="7"/>
        <v>1.3330590413495165</v>
      </c>
      <c r="O15" s="9">
        <v>113.4</v>
      </c>
      <c r="P15" s="9">
        <f t="shared" si="8"/>
        <v>3.1986280311513653</v>
      </c>
      <c r="Q15" s="9">
        <f t="shared" si="9"/>
        <v>3.1986280311513653</v>
      </c>
      <c r="R15" s="9">
        <v>140.29999999999998</v>
      </c>
      <c r="S15" s="9">
        <f t="shared" si="10"/>
        <v>2.299353919243019</v>
      </c>
      <c r="T15" s="9">
        <f t="shared" si="11"/>
        <v>2.299353919243019</v>
      </c>
      <c r="U15" s="9">
        <v>120.9</v>
      </c>
      <c r="V15" s="9">
        <f t="shared" si="12"/>
        <v>1.2585412164441059</v>
      </c>
      <c r="W15" s="9">
        <f t="shared" si="13"/>
        <v>2.5170824328882118</v>
      </c>
      <c r="X15" s="11">
        <v>19.5</v>
      </c>
      <c r="Y15" s="11">
        <f t="shared" si="14"/>
        <v>0.31449107119529507</v>
      </c>
      <c r="Z15" s="11">
        <f t="shared" si="15"/>
        <v>0.31449107119529507</v>
      </c>
      <c r="AA15" s="12">
        <v>3.2399999999999998E-2</v>
      </c>
      <c r="AB15" s="12">
        <f t="shared" si="16"/>
        <v>5.8015649900621338E-4</v>
      </c>
      <c r="AC15" s="12">
        <f t="shared" si="17"/>
        <v>1.4503912475155333E-3</v>
      </c>
      <c r="AD15" s="12">
        <v>0.29699999999999999</v>
      </c>
      <c r="AE15" s="12">
        <f t="shared" si="18"/>
        <v>5.4067978194402601E-3</v>
      </c>
      <c r="AF15" s="12">
        <f t="shared" si="19"/>
        <v>3.2440786916641561E-2</v>
      </c>
      <c r="AG15" s="9"/>
      <c r="AH15" s="7">
        <f t="shared" si="20"/>
        <v>0</v>
      </c>
      <c r="AI15" s="7">
        <f t="shared" si="21"/>
        <v>0</v>
      </c>
      <c r="AJ15" s="45">
        <f t="shared" si="22"/>
        <v>8.9932042677396886</v>
      </c>
      <c r="AK15" s="11">
        <f t="shared" si="23"/>
        <v>8.3295554544778909</v>
      </c>
      <c r="AL15" s="9">
        <f t="shared" si="24"/>
        <v>3.8310801737359692</v>
      </c>
      <c r="AN15" s="9">
        <v>1005</v>
      </c>
      <c r="AO15" s="7">
        <f t="shared" si="25"/>
        <v>10.050000000000001</v>
      </c>
      <c r="AP15" s="9">
        <f t="shared" si="26"/>
        <v>31.8271445885708</v>
      </c>
      <c r="AQ15" s="9">
        <f t="shared" si="27"/>
        <v>22.879143475054914</v>
      </c>
    </row>
    <row r="16" spans="1:43" s="7" customFormat="1" ht="11.4" x14ac:dyDescent="0.2">
      <c r="A16" s="8">
        <v>14</v>
      </c>
      <c r="B16" s="8" t="s">
        <v>34</v>
      </c>
      <c r="C16" s="9">
        <v>1064</v>
      </c>
      <c r="D16" s="9">
        <f t="shared" si="0"/>
        <v>46.281458777661435</v>
      </c>
      <c r="E16" s="9">
        <f t="shared" si="1"/>
        <v>46.281458777661435</v>
      </c>
      <c r="F16" s="9">
        <v>17.829999999999998</v>
      </c>
      <c r="G16" s="9">
        <f t="shared" si="2"/>
        <v>0.4560300575728356</v>
      </c>
      <c r="H16" s="9">
        <f t="shared" si="3"/>
        <v>0.4560300575728356</v>
      </c>
      <c r="I16" s="9">
        <v>271</v>
      </c>
      <c r="J16" s="9">
        <f t="shared" si="4"/>
        <v>6.7618144617994904</v>
      </c>
      <c r="K16" s="9">
        <f t="shared" si="5"/>
        <v>13.523628923598981</v>
      </c>
      <c r="L16" s="9">
        <v>366</v>
      </c>
      <c r="M16" s="9">
        <f t="shared" si="6"/>
        <v>15.058629911540836</v>
      </c>
      <c r="N16" s="9">
        <f t="shared" si="7"/>
        <v>30.117259823081671</v>
      </c>
      <c r="O16" s="9">
        <v>2094.48</v>
      </c>
      <c r="P16" s="9">
        <f t="shared" si="8"/>
        <v>59.078152016630611</v>
      </c>
      <c r="Q16" s="9">
        <f t="shared" si="9"/>
        <v>59.078152016630611</v>
      </c>
      <c r="R16" s="9">
        <v>414.8</v>
      </c>
      <c r="S16" s="9">
        <f t="shared" si="10"/>
        <v>6.7980898481967529</v>
      </c>
      <c r="T16" s="9">
        <f t="shared" si="11"/>
        <v>6.7980898481967529</v>
      </c>
      <c r="U16" s="9">
        <v>242.26999999999998</v>
      </c>
      <c r="V16" s="9">
        <f t="shared" si="12"/>
        <v>2.5219750248793509</v>
      </c>
      <c r="W16" s="9">
        <f t="shared" si="13"/>
        <v>5.0439500497587018</v>
      </c>
      <c r="X16" s="11">
        <v>24.9</v>
      </c>
      <c r="Y16" s="11">
        <f t="shared" si="14"/>
        <v>0.40158090629553062</v>
      </c>
      <c r="Z16" s="11">
        <f t="shared" si="15"/>
        <v>0.40158090629553062</v>
      </c>
      <c r="AA16" s="12">
        <v>1.4800000000000001E-2</v>
      </c>
      <c r="AB16" s="12">
        <f t="shared" si="16"/>
        <v>2.6500975880530735E-4</v>
      </c>
      <c r="AC16" s="12">
        <f t="shared" si="17"/>
        <v>6.6252439701326834E-4</v>
      </c>
      <c r="AD16" s="12">
        <v>2.8400000000000002E-2</v>
      </c>
      <c r="AE16" s="12">
        <f t="shared" si="18"/>
        <v>5.1701366354243571E-4</v>
      </c>
      <c r="AF16" s="12">
        <f t="shared" si="19"/>
        <v>3.1020819812546145E-3</v>
      </c>
      <c r="AG16" s="9">
        <v>7.22</v>
      </c>
      <c r="AH16" s="7">
        <f t="shared" si="20"/>
        <v>9.0358430116139365E-2</v>
      </c>
      <c r="AI16" s="7">
        <f t="shared" si="21"/>
        <v>9.0358430116139365E-2</v>
      </c>
      <c r="AJ16" s="45">
        <f t="shared" si="22"/>
        <v>90.382142188293187</v>
      </c>
      <c r="AK16" s="11">
        <f t="shared" si="23"/>
        <v>71.412131250997732</v>
      </c>
      <c r="AL16" s="47">
        <f t="shared" si="24"/>
        <v>11.724772783391161</v>
      </c>
      <c r="AN16" s="9">
        <v>9200</v>
      </c>
      <c r="AO16" s="7">
        <f t="shared" si="25"/>
        <v>92</v>
      </c>
      <c r="AP16" s="9">
        <f t="shared" si="26"/>
        <v>64.215382626772396</v>
      </c>
      <c r="AQ16" s="9">
        <f t="shared" si="27"/>
        <v>7.3892280958660361</v>
      </c>
    </row>
    <row r="17" spans="1:43" s="7" customFormat="1" ht="11.4" x14ac:dyDescent="0.2">
      <c r="A17" s="8">
        <v>23</v>
      </c>
      <c r="B17" s="8" t="s">
        <v>36</v>
      </c>
      <c r="C17" s="9">
        <v>278.60000000000002</v>
      </c>
      <c r="D17" s="9">
        <f t="shared" si="0"/>
        <v>12.118434600992929</v>
      </c>
      <c r="E17" s="9">
        <f t="shared" si="1"/>
        <v>12.118434600992929</v>
      </c>
      <c r="F17" s="9">
        <v>12.19</v>
      </c>
      <c r="G17" s="9">
        <f t="shared" si="2"/>
        <v>0.31177826145893811</v>
      </c>
      <c r="H17" s="9">
        <f t="shared" si="3"/>
        <v>0.31177826145893811</v>
      </c>
      <c r="I17" s="9">
        <v>135</v>
      </c>
      <c r="J17" s="9">
        <f t="shared" si="4"/>
        <v>3.3684315584610007</v>
      </c>
      <c r="K17" s="9">
        <f t="shared" si="5"/>
        <v>6.7368631169220015</v>
      </c>
      <c r="L17" s="9">
        <v>70.25</v>
      </c>
      <c r="M17" s="9">
        <f t="shared" si="6"/>
        <v>2.890351779469245</v>
      </c>
      <c r="N17" s="9">
        <f t="shared" si="7"/>
        <v>5.7807035589384901</v>
      </c>
      <c r="O17" s="9">
        <v>770.947</v>
      </c>
      <c r="P17" s="9">
        <f t="shared" si="8"/>
        <v>21.745790870653011</v>
      </c>
      <c r="Q17" s="9">
        <f t="shared" si="9"/>
        <v>21.745790870653011</v>
      </c>
      <c r="R17" s="9">
        <v>207.4</v>
      </c>
      <c r="S17" s="9">
        <f t="shared" si="10"/>
        <v>3.3990449240983764</v>
      </c>
      <c r="T17" s="9">
        <f t="shared" si="11"/>
        <v>3.3990449240983764</v>
      </c>
      <c r="U17" s="9">
        <v>141.11500000000001</v>
      </c>
      <c r="V17" s="9">
        <f t="shared" si="12"/>
        <v>1.4689747209140613</v>
      </c>
      <c r="W17" s="9">
        <f t="shared" si="13"/>
        <v>2.9379494418281227</v>
      </c>
      <c r="X17" s="11">
        <v>0</v>
      </c>
      <c r="Y17" s="11">
        <f t="shared" si="14"/>
        <v>0</v>
      </c>
      <c r="Z17" s="11">
        <f t="shared" si="15"/>
        <v>0</v>
      </c>
      <c r="AA17" s="12">
        <v>2.9399999999999999E-2</v>
      </c>
      <c r="AB17" s="12">
        <f t="shared" si="16"/>
        <v>5.264383046537862E-4</v>
      </c>
      <c r="AC17" s="12">
        <f t="shared" si="17"/>
        <v>1.3160957616344655E-3</v>
      </c>
      <c r="AD17" s="12">
        <v>5.45E-2</v>
      </c>
      <c r="AE17" s="12">
        <f t="shared" si="18"/>
        <v>9.9215650222051898E-4</v>
      </c>
      <c r="AF17" s="12">
        <f t="shared" si="19"/>
        <v>5.9529390133231143E-3</v>
      </c>
      <c r="AG17" s="9">
        <v>2.2000000000000002</v>
      </c>
      <c r="AH17" s="7">
        <f t="shared" si="20"/>
        <v>2.7533039647577095E-2</v>
      </c>
      <c r="AI17" s="7">
        <f t="shared" si="21"/>
        <v>2.7533039647577095E-2</v>
      </c>
      <c r="AJ17" s="45">
        <f t="shared" si="22"/>
        <v>24.955048573087318</v>
      </c>
      <c r="AK17" s="11">
        <f t="shared" si="23"/>
        <v>28.110318276227087</v>
      </c>
      <c r="AL17" s="46">
        <f t="shared" si="24"/>
        <v>-5.9460056350868982</v>
      </c>
      <c r="AN17" s="9">
        <v>3020</v>
      </c>
      <c r="AO17" s="7">
        <f t="shared" si="25"/>
        <v>30.2</v>
      </c>
      <c r="AP17" s="9">
        <f t="shared" si="26"/>
        <v>72.005930035274872</v>
      </c>
      <c r="AQ17" s="9">
        <f t="shared" si="27"/>
        <v>11.255115642709857</v>
      </c>
    </row>
    <row r="18" spans="1:43" s="7" customFormat="1" ht="11.4" x14ac:dyDescent="0.2">
      <c r="A18" s="8">
        <v>27</v>
      </c>
      <c r="B18" s="8" t="s">
        <v>37</v>
      </c>
      <c r="C18" s="9">
        <v>6.77</v>
      </c>
      <c r="D18" s="9">
        <f t="shared" si="0"/>
        <v>0.29447883075636078</v>
      </c>
      <c r="E18" s="9">
        <f t="shared" si="1"/>
        <v>0.29447883075636078</v>
      </c>
      <c r="F18" s="9">
        <v>2.77</v>
      </c>
      <c r="G18" s="9">
        <f t="shared" si="2"/>
        <v>7.0847070077215635E-2</v>
      </c>
      <c r="H18" s="9">
        <f t="shared" si="3"/>
        <v>7.0847070077215635E-2</v>
      </c>
      <c r="I18" s="9">
        <v>7.91</v>
      </c>
      <c r="J18" s="9">
        <f t="shared" si="4"/>
        <v>0.19736513798093716</v>
      </c>
      <c r="K18" s="9">
        <f t="shared" si="5"/>
        <v>0.39473027596187432</v>
      </c>
      <c r="L18" s="9">
        <v>1.99</v>
      </c>
      <c r="M18" s="9">
        <f t="shared" si="6"/>
        <v>8.1876157169306726E-2</v>
      </c>
      <c r="N18" s="9">
        <f t="shared" si="7"/>
        <v>0.16375231433861345</v>
      </c>
      <c r="O18" s="9">
        <v>11.576500000000001</v>
      </c>
      <c r="P18" s="9">
        <f t="shared" si="8"/>
        <v>0.32653366316246718</v>
      </c>
      <c r="Q18" s="9">
        <f t="shared" si="9"/>
        <v>0.32653366316246718</v>
      </c>
      <c r="R18" s="9">
        <v>45.1</v>
      </c>
      <c r="S18" s="9">
        <f t="shared" si="10"/>
        <v>0.73913657703392854</v>
      </c>
      <c r="T18" s="9">
        <f t="shared" si="11"/>
        <v>0.73913657703392854</v>
      </c>
      <c r="U18" s="9">
        <v>8.6999999999999994E-2</v>
      </c>
      <c r="V18" s="9">
        <f t="shared" si="12"/>
        <v>9.0565000687044836E-4</v>
      </c>
      <c r="W18" s="9">
        <f t="shared" si="13"/>
        <v>1.8113000137408967E-3</v>
      </c>
      <c r="X18" s="11">
        <v>0</v>
      </c>
      <c r="Y18" s="11">
        <f t="shared" si="14"/>
        <v>0</v>
      </c>
      <c r="Z18" s="11">
        <f t="shared" si="15"/>
        <v>0</v>
      </c>
      <c r="AA18" s="12">
        <v>3</v>
      </c>
      <c r="AB18" s="12">
        <f t="shared" si="16"/>
        <v>5.3718194352427168E-2</v>
      </c>
      <c r="AC18" s="12">
        <f t="shared" si="17"/>
        <v>0.13429548588106793</v>
      </c>
      <c r="AD18" s="12">
        <v>0.66700000000000004</v>
      </c>
      <c r="AE18" s="12">
        <f t="shared" si="18"/>
        <v>1.2142539210662133E-2</v>
      </c>
      <c r="AF18" s="12">
        <f t="shared" si="19"/>
        <v>7.2855235263972792E-2</v>
      </c>
      <c r="AG18" s="9"/>
      <c r="AH18" s="7">
        <f t="shared" si="20"/>
        <v>0</v>
      </c>
      <c r="AI18" s="7">
        <f t="shared" si="21"/>
        <v>0</v>
      </c>
      <c r="AJ18" s="45">
        <f t="shared" si="22"/>
        <v>1.130959212279105</v>
      </c>
      <c r="AK18" s="11">
        <f t="shared" si="23"/>
        <v>1.0674815402101365</v>
      </c>
      <c r="AL18" s="9">
        <f t="shared" si="24"/>
        <v>2.887395168466298</v>
      </c>
      <c r="AN18" s="9">
        <v>118.3</v>
      </c>
      <c r="AO18" s="7">
        <f t="shared" si="25"/>
        <v>1.1830000000000001</v>
      </c>
      <c r="AP18" s="9">
        <f t="shared" si="26"/>
        <v>27.602169329033572</v>
      </c>
      <c r="AQ18" s="9">
        <f t="shared" si="27"/>
        <v>62.4798459031216</v>
      </c>
    </row>
    <row r="19" spans="1:43" s="7" customFormat="1" ht="11.4" x14ac:dyDescent="0.2">
      <c r="A19" s="8">
        <v>29</v>
      </c>
      <c r="B19" s="8" t="s">
        <v>38</v>
      </c>
      <c r="C19" s="9">
        <v>18.18</v>
      </c>
      <c r="D19" s="9">
        <f t="shared" si="0"/>
        <v>0.79078657949049325</v>
      </c>
      <c r="E19" s="9">
        <f t="shared" si="1"/>
        <v>0.79078657949049325</v>
      </c>
      <c r="F19" s="9">
        <v>3.85</v>
      </c>
      <c r="G19" s="9">
        <f t="shared" si="2"/>
        <v>9.8469754439451329E-2</v>
      </c>
      <c r="H19" s="9">
        <f t="shared" si="3"/>
        <v>9.8469754439451329E-2</v>
      </c>
      <c r="I19" s="9">
        <v>4.05</v>
      </c>
      <c r="J19" s="9">
        <f t="shared" si="4"/>
        <v>0.10105294675383002</v>
      </c>
      <c r="K19" s="9">
        <f t="shared" si="5"/>
        <v>0.20210589350766003</v>
      </c>
      <c r="L19" s="9">
        <v>2.38</v>
      </c>
      <c r="M19" s="9">
        <f t="shared" si="6"/>
        <v>9.7922238222587943E-2</v>
      </c>
      <c r="N19" s="9">
        <f t="shared" si="7"/>
        <v>0.19584447644517589</v>
      </c>
      <c r="O19" s="9">
        <v>37.957000000000001</v>
      </c>
      <c r="P19" s="9">
        <f t="shared" si="8"/>
        <v>1.0706377793510791</v>
      </c>
      <c r="Q19" s="9">
        <f t="shared" si="9"/>
        <v>1.0706377793510791</v>
      </c>
      <c r="R19" s="9">
        <v>12.2</v>
      </c>
      <c r="S19" s="9">
        <f t="shared" si="10"/>
        <v>0.19994381906461037</v>
      </c>
      <c r="T19" s="9">
        <f t="shared" si="11"/>
        <v>0.19994381906461037</v>
      </c>
      <c r="U19" s="9">
        <v>5.0437000000000003</v>
      </c>
      <c r="V19" s="9">
        <f t="shared" si="12"/>
        <v>5.2503757927040012E-2</v>
      </c>
      <c r="W19" s="9">
        <f t="shared" si="13"/>
        <v>0.10500751585408002</v>
      </c>
      <c r="X19" s="11">
        <v>0.4677</v>
      </c>
      <c r="Y19" s="11">
        <f t="shared" si="14"/>
        <v>7.5429473845148474E-3</v>
      </c>
      <c r="Z19" s="11">
        <f t="shared" si="15"/>
        <v>7.5429473845148474E-3</v>
      </c>
      <c r="AA19" s="12">
        <v>2.8799999999999999E-2</v>
      </c>
      <c r="AB19" s="12">
        <f t="shared" si="16"/>
        <v>5.156946657833008E-4</v>
      </c>
      <c r="AC19" s="12">
        <f t="shared" si="17"/>
        <v>1.2892366644582519E-3</v>
      </c>
      <c r="AD19" s="12">
        <v>8.6999999999999994E-3</v>
      </c>
      <c r="AE19" s="12">
        <f t="shared" si="18"/>
        <v>1.583809462260278E-4</v>
      </c>
      <c r="AF19" s="12">
        <f t="shared" si="19"/>
        <v>9.5028567735616675E-4</v>
      </c>
      <c r="AG19" s="9"/>
      <c r="AH19" s="7">
        <f t="shared" si="20"/>
        <v>0</v>
      </c>
      <c r="AI19" s="7">
        <f t="shared" si="21"/>
        <v>0</v>
      </c>
      <c r="AJ19" s="45">
        <f t="shared" si="22"/>
        <v>1.2894462262245949</v>
      </c>
      <c r="AK19" s="11">
        <f t="shared" si="23"/>
        <v>1.3831320616542844</v>
      </c>
      <c r="AL19" s="9">
        <f t="shared" si="24"/>
        <v>-3.5054477488868705</v>
      </c>
      <c r="AN19" s="9">
        <v>162.5</v>
      </c>
      <c r="AO19" s="7">
        <f t="shared" si="25"/>
        <v>1.625</v>
      </c>
      <c r="AP19" s="9">
        <f t="shared" si="26"/>
        <v>65.885401806220244</v>
      </c>
      <c r="AQ19" s="9">
        <f t="shared" si="27"/>
        <v>12.304235019360638</v>
      </c>
    </row>
    <row r="20" spans="1:43" s="7" customFormat="1" ht="11.4" x14ac:dyDescent="0.2">
      <c r="A20" s="8">
        <v>31</v>
      </c>
      <c r="B20" s="8" t="s">
        <v>39</v>
      </c>
      <c r="C20" s="9">
        <v>24.23</v>
      </c>
      <c r="D20" s="9">
        <f t="shared" si="0"/>
        <v>1.053947129870993</v>
      </c>
      <c r="E20" s="9">
        <f t="shared" si="1"/>
        <v>1.053947129870993</v>
      </c>
      <c r="F20" s="9">
        <v>2.87</v>
      </c>
      <c r="G20" s="9">
        <f t="shared" si="2"/>
        <v>7.3404726036681897E-2</v>
      </c>
      <c r="H20" s="9">
        <f t="shared" si="3"/>
        <v>7.3404726036681897E-2</v>
      </c>
      <c r="I20" s="9">
        <v>5.63</v>
      </c>
      <c r="J20" s="9">
        <f t="shared" si="4"/>
        <v>0.14047607166026246</v>
      </c>
      <c r="K20" s="9">
        <f t="shared" si="5"/>
        <v>0.28095214332052493</v>
      </c>
      <c r="L20" s="9">
        <v>2.77</v>
      </c>
      <c r="M20" s="9">
        <f t="shared" si="6"/>
        <v>0.11396831927586916</v>
      </c>
      <c r="N20" s="9">
        <f t="shared" si="7"/>
        <v>0.22793663855173832</v>
      </c>
      <c r="O20" s="9">
        <v>32.456000000000003</v>
      </c>
      <c r="P20" s="9">
        <f t="shared" si="8"/>
        <v>0.91547329258420385</v>
      </c>
      <c r="Q20" s="9">
        <f t="shared" si="9"/>
        <v>0.91547329258420385</v>
      </c>
      <c r="R20" s="9">
        <v>64.66</v>
      </c>
      <c r="S20" s="9">
        <f t="shared" si="10"/>
        <v>1.059702241042435</v>
      </c>
      <c r="T20" s="9">
        <f t="shared" si="11"/>
        <v>1.059702241042435</v>
      </c>
      <c r="U20" s="9">
        <v>0.25650000000000001</v>
      </c>
      <c r="V20" s="9">
        <f t="shared" si="12"/>
        <v>2.6701060547387359E-3</v>
      </c>
      <c r="W20" s="9">
        <f t="shared" si="13"/>
        <v>5.3402121094774718E-3</v>
      </c>
      <c r="X20" s="11">
        <v>9.0500000000000011E-2</v>
      </c>
      <c r="Y20" s="11">
        <f t="shared" si="14"/>
        <v>1.4595611252909851E-3</v>
      </c>
      <c r="Z20" s="11">
        <f t="shared" si="15"/>
        <v>1.4595611252909851E-3</v>
      </c>
      <c r="AA20" s="12">
        <v>1.3</v>
      </c>
      <c r="AB20" s="12">
        <f t="shared" si="16"/>
        <v>2.3277884219385106E-2</v>
      </c>
      <c r="AC20" s="12">
        <f t="shared" si="17"/>
        <v>5.8194710548462765E-2</v>
      </c>
      <c r="AD20" s="12">
        <v>7.8899999999999998E-2</v>
      </c>
      <c r="AE20" s="12">
        <f t="shared" si="18"/>
        <v>1.4363513399119074E-3</v>
      </c>
      <c r="AF20" s="12">
        <f t="shared" si="19"/>
        <v>8.6181080394714445E-3</v>
      </c>
      <c r="AG20" s="9"/>
      <c r="AH20" s="7">
        <f t="shared" si="20"/>
        <v>0</v>
      </c>
      <c r="AI20" s="7">
        <f t="shared" si="21"/>
        <v>0</v>
      </c>
      <c r="AJ20" s="45">
        <f t="shared" si="22"/>
        <v>1.7030534563678725</v>
      </c>
      <c r="AK20" s="11">
        <f t="shared" si="23"/>
        <v>1.9819753068614072</v>
      </c>
      <c r="AL20" s="47">
        <f t="shared" si="24"/>
        <v>-7.5690549087901484</v>
      </c>
      <c r="AN20" s="9">
        <v>200</v>
      </c>
      <c r="AO20" s="7">
        <f t="shared" si="25"/>
        <v>2</v>
      </c>
      <c r="AP20" s="9">
        <f t="shared" si="26"/>
        <v>45.773664629210195</v>
      </c>
      <c r="AQ20" s="9">
        <f t="shared" si="27"/>
        <v>52.98511205212175</v>
      </c>
    </row>
    <row r="21" spans="1:43" s="7" customFormat="1" ht="11.4" x14ac:dyDescent="0.2">
      <c r="A21" s="8">
        <v>46</v>
      </c>
      <c r="B21" s="8" t="s">
        <v>40</v>
      </c>
      <c r="C21" s="9">
        <v>144.1</v>
      </c>
      <c r="D21" s="9">
        <f t="shared" si="0"/>
        <v>6.2680058363355382</v>
      </c>
      <c r="E21" s="9">
        <f t="shared" si="1"/>
        <v>6.2680058363355382</v>
      </c>
      <c r="F21" s="9">
        <v>14.7</v>
      </c>
      <c r="G21" s="9">
        <f t="shared" si="2"/>
        <v>0.37597542604154144</v>
      </c>
      <c r="H21" s="9">
        <f t="shared" si="3"/>
        <v>0.37597542604154144</v>
      </c>
      <c r="I21" s="9">
        <v>55.3</v>
      </c>
      <c r="J21" s="9">
        <f t="shared" si="4"/>
        <v>1.3798093717251358</v>
      </c>
      <c r="K21" s="9">
        <f t="shared" si="5"/>
        <v>2.7596187434502717</v>
      </c>
      <c r="L21" s="9">
        <v>22.2</v>
      </c>
      <c r="M21" s="9">
        <f t="shared" si="6"/>
        <v>0.91339230610985389</v>
      </c>
      <c r="N21" s="9">
        <f t="shared" si="7"/>
        <v>1.8267846122197078</v>
      </c>
      <c r="O21" s="9">
        <v>260.471</v>
      </c>
      <c r="P21" s="9">
        <f t="shared" si="8"/>
        <v>7.3470003695064126</v>
      </c>
      <c r="Q21" s="9">
        <f t="shared" si="9"/>
        <v>7.3470003695064126</v>
      </c>
      <c r="R21" s="9">
        <v>190.32</v>
      </c>
      <c r="S21" s="9">
        <f t="shared" si="10"/>
        <v>3.1191235774079216</v>
      </c>
      <c r="T21" s="9">
        <f t="shared" si="11"/>
        <v>3.1191235774079216</v>
      </c>
      <c r="U21" s="9">
        <v>9.347999999999999</v>
      </c>
      <c r="V21" s="9">
        <f t="shared" si="12"/>
        <v>9.7310531772700576E-2</v>
      </c>
      <c r="W21" s="9">
        <f t="shared" si="13"/>
        <v>0.19462106354540115</v>
      </c>
      <c r="X21" s="11">
        <v>0</v>
      </c>
      <c r="Y21" s="11">
        <f t="shared" si="14"/>
        <v>0</v>
      </c>
      <c r="Z21" s="11">
        <f t="shared" si="15"/>
        <v>0</v>
      </c>
      <c r="AA21" s="12">
        <v>4.3499999999999997E-2</v>
      </c>
      <c r="AB21" s="12">
        <f t="shared" si="16"/>
        <v>7.7891381811019385E-4</v>
      </c>
      <c r="AC21" s="12">
        <f t="shared" si="17"/>
        <v>1.9472845452754846E-3</v>
      </c>
      <c r="AD21" s="12">
        <v>1.9099999999999999E-2</v>
      </c>
      <c r="AE21" s="12">
        <f t="shared" si="18"/>
        <v>3.4770989343875069E-4</v>
      </c>
      <c r="AF21" s="12">
        <f t="shared" si="19"/>
        <v>2.0862593606325039E-3</v>
      </c>
      <c r="AG21" s="9">
        <v>0.84</v>
      </c>
      <c r="AH21" s="7">
        <f t="shared" si="20"/>
        <v>1.0512615138165799E-2</v>
      </c>
      <c r="AI21" s="7">
        <f t="shared" si="21"/>
        <v>1.0512615138165799E-2</v>
      </c>
      <c r="AJ21" s="45">
        <f t="shared" si="22"/>
        <v>11.234418161952966</v>
      </c>
      <c r="AK21" s="11">
        <f t="shared" si="23"/>
        <v>10.671257625597901</v>
      </c>
      <c r="AL21" s="9">
        <f t="shared" si="24"/>
        <v>2.5708430172015637</v>
      </c>
      <c r="AN21" s="9">
        <v>1230</v>
      </c>
      <c r="AO21" s="7">
        <f t="shared" si="25"/>
        <v>12.3</v>
      </c>
      <c r="AP21" s="9">
        <f t="shared" si="26"/>
        <v>59.731710321190349</v>
      </c>
      <c r="AQ21" s="9">
        <f t="shared" si="27"/>
        <v>25.358728271609117</v>
      </c>
    </row>
    <row r="22" spans="1:43" s="7" customFormat="1" ht="11.4" x14ac:dyDescent="0.2">
      <c r="A22" s="8">
        <v>48</v>
      </c>
      <c r="B22" s="8" t="s">
        <v>41</v>
      </c>
      <c r="C22" s="9">
        <v>136.6</v>
      </c>
      <c r="D22" s="9">
        <f t="shared" si="0"/>
        <v>5.9417737490869849</v>
      </c>
      <c r="E22" s="9">
        <f t="shared" si="1"/>
        <v>5.9417737490869849</v>
      </c>
      <c r="F22" s="9">
        <v>15.7</v>
      </c>
      <c r="G22" s="9">
        <f t="shared" si="2"/>
        <v>0.40155198563620409</v>
      </c>
      <c r="H22" s="9">
        <f t="shared" si="3"/>
        <v>0.40155198563620409</v>
      </c>
      <c r="I22" s="9">
        <v>53.1</v>
      </c>
      <c r="J22" s="9">
        <f t="shared" si="4"/>
        <v>1.3249164129946605</v>
      </c>
      <c r="K22" s="9">
        <f t="shared" si="5"/>
        <v>2.6498328259893209</v>
      </c>
      <c r="L22" s="9">
        <v>28.9</v>
      </c>
      <c r="M22" s="9">
        <f t="shared" si="6"/>
        <v>1.1890557498457106</v>
      </c>
      <c r="N22" s="9">
        <f t="shared" si="7"/>
        <v>2.3781114996914212</v>
      </c>
      <c r="O22" s="9">
        <v>156.447</v>
      </c>
      <c r="P22" s="9">
        <f t="shared" si="8"/>
        <v>4.412837386151125</v>
      </c>
      <c r="Q22" s="9">
        <f t="shared" si="9"/>
        <v>4.412837386151125</v>
      </c>
      <c r="R22" s="9">
        <v>287.92</v>
      </c>
      <c r="S22" s="9">
        <f t="shared" si="10"/>
        <v>4.7186741299248052</v>
      </c>
      <c r="T22" s="9">
        <f t="shared" si="11"/>
        <v>4.7186741299248052</v>
      </c>
      <c r="U22" s="9">
        <v>77.263000000000005</v>
      </c>
      <c r="V22" s="9">
        <f t="shared" si="12"/>
        <v>0.8042900744923156</v>
      </c>
      <c r="W22" s="9">
        <f t="shared" si="13"/>
        <v>1.6085801489846312</v>
      </c>
      <c r="X22" s="11">
        <v>2.4449999999999998</v>
      </c>
      <c r="Y22" s="11">
        <f t="shared" si="14"/>
        <v>3.9432342003717764E-2</v>
      </c>
      <c r="Z22" s="11">
        <f t="shared" si="15"/>
        <v>3.9432342003717764E-2</v>
      </c>
      <c r="AA22" s="12">
        <v>9.3500000000000007E-3</v>
      </c>
      <c r="AB22" s="12">
        <f t="shared" si="16"/>
        <v>1.6742170573173134E-4</v>
      </c>
      <c r="AC22" s="12">
        <f t="shared" si="17"/>
        <v>4.1855426432932835E-4</v>
      </c>
      <c r="AD22" s="12">
        <v>2.8E-3</v>
      </c>
      <c r="AE22" s="12">
        <f t="shared" si="18"/>
        <v>5.0973178095733088E-5</v>
      </c>
      <c r="AF22" s="12">
        <f t="shared" si="19"/>
        <v>3.0583906857439852E-4</v>
      </c>
      <c r="AG22" s="9">
        <v>0.4</v>
      </c>
      <c r="AH22" s="7">
        <f t="shared" si="20"/>
        <v>5.0060072086503806E-3</v>
      </c>
      <c r="AI22" s="7">
        <f t="shared" si="21"/>
        <v>5.0060072086503806E-3</v>
      </c>
      <c r="AJ22" s="45">
        <f t="shared" si="22"/>
        <v>11.371994453736836</v>
      </c>
      <c r="AK22" s="11">
        <f t="shared" si="23"/>
        <v>10.78453001427293</v>
      </c>
      <c r="AL22" s="9">
        <f t="shared" si="24"/>
        <v>2.6514286584617737</v>
      </c>
      <c r="AN22" s="9">
        <v>1182</v>
      </c>
      <c r="AO22" s="7">
        <f t="shared" si="25"/>
        <v>11.82</v>
      </c>
      <c r="AP22" s="9">
        <f t="shared" si="26"/>
        <v>37.33364962902813</v>
      </c>
      <c r="AQ22" s="9">
        <f t="shared" si="27"/>
        <v>39.92110092998989</v>
      </c>
    </row>
    <row r="23" spans="1:43" s="7" customFormat="1" ht="11.4" x14ac:dyDescent="0.2">
      <c r="A23" s="8">
        <v>68</v>
      </c>
      <c r="B23" s="8" t="s">
        <v>42</v>
      </c>
      <c r="C23" s="9">
        <v>286</v>
      </c>
      <c r="D23" s="9">
        <f t="shared" si="0"/>
        <v>12.440316927078166</v>
      </c>
      <c r="E23" s="9">
        <f t="shared" si="1"/>
        <v>12.440316927078166</v>
      </c>
      <c r="F23" s="9">
        <v>12.98</v>
      </c>
      <c r="G23" s="9">
        <f t="shared" si="2"/>
        <v>0.33198374353872162</v>
      </c>
      <c r="H23" s="9">
        <f t="shared" si="3"/>
        <v>0.33198374353872162</v>
      </c>
      <c r="I23" s="9">
        <v>234</v>
      </c>
      <c r="J23" s="9">
        <f t="shared" si="4"/>
        <v>5.8386147013324017</v>
      </c>
      <c r="K23" s="9">
        <f t="shared" si="5"/>
        <v>11.677229402664803</v>
      </c>
      <c r="L23" s="9">
        <v>116</v>
      </c>
      <c r="M23" s="9">
        <f t="shared" si="6"/>
        <v>4.7726805184118497</v>
      </c>
      <c r="N23" s="9">
        <f t="shared" si="7"/>
        <v>9.5453610368236994</v>
      </c>
      <c r="O23" s="9">
        <v>946.56000000000006</v>
      </c>
      <c r="P23" s="9">
        <f t="shared" si="8"/>
        <v>26.699235883303672</v>
      </c>
      <c r="Q23" s="9">
        <f t="shared" si="9"/>
        <v>26.699235883303672</v>
      </c>
      <c r="R23" s="9">
        <v>237.9</v>
      </c>
      <c r="S23" s="9">
        <f t="shared" si="10"/>
        <v>3.8989044717599026</v>
      </c>
      <c r="T23" s="9">
        <f t="shared" si="11"/>
        <v>3.8989044717599026</v>
      </c>
      <c r="U23" s="9">
        <v>46.940999999999995</v>
      </c>
      <c r="V23" s="9">
        <f t="shared" si="12"/>
        <v>0.48864502267247945</v>
      </c>
      <c r="W23" s="9">
        <f t="shared" si="13"/>
        <v>0.97729004534495889</v>
      </c>
      <c r="X23" s="11">
        <v>0</v>
      </c>
      <c r="Y23" s="11">
        <f t="shared" si="14"/>
        <v>0</v>
      </c>
      <c r="Z23" s="11">
        <f t="shared" si="15"/>
        <v>0</v>
      </c>
      <c r="AA23" s="12">
        <v>0.44700000000000001</v>
      </c>
      <c r="AB23" s="12">
        <f t="shared" si="16"/>
        <v>8.0040109585116474E-3</v>
      </c>
      <c r="AC23" s="12">
        <f t="shared" si="17"/>
        <v>2.001002739627912E-2</v>
      </c>
      <c r="AD23" s="12">
        <v>1.71</v>
      </c>
      <c r="AE23" s="12">
        <f t="shared" si="18"/>
        <v>3.1130048051322707E-2</v>
      </c>
      <c r="AF23" s="12">
        <f t="shared" si="19"/>
        <v>0.18678028830793625</v>
      </c>
      <c r="AG23" s="9">
        <v>2.73</v>
      </c>
      <c r="AH23" s="7">
        <f t="shared" si="20"/>
        <v>3.416599919903885E-2</v>
      </c>
      <c r="AI23" s="7">
        <f t="shared" si="21"/>
        <v>3.416599919903885E-2</v>
      </c>
      <c r="AJ23" s="45">
        <f t="shared" si="22"/>
        <v>34.201681425809603</v>
      </c>
      <c r="AK23" s="11">
        <f t="shared" si="23"/>
        <v>31.609596399607572</v>
      </c>
      <c r="AL23" s="9">
        <f t="shared" si="24"/>
        <v>3.938663876240577</v>
      </c>
      <c r="AN23" s="9">
        <v>3900</v>
      </c>
      <c r="AO23" s="7">
        <f t="shared" si="25"/>
        <v>39</v>
      </c>
      <c r="AP23" s="9">
        <f t="shared" si="26"/>
        <v>68.459579187958127</v>
      </c>
      <c r="AQ23" s="9">
        <f t="shared" si="27"/>
        <v>9.9971909532305201</v>
      </c>
    </row>
    <row r="26" spans="1:43" x14ac:dyDescent="0.3">
      <c r="A26" s="18" t="s">
        <v>46</v>
      </c>
      <c r="B26" s="19"/>
      <c r="C26" s="19"/>
      <c r="D26" s="19"/>
      <c r="E26" s="19"/>
      <c r="F26" s="19"/>
      <c r="G26" s="19"/>
    </row>
    <row r="27" spans="1:43" x14ac:dyDescent="0.3">
      <c r="A27" s="20" t="s">
        <v>47</v>
      </c>
      <c r="B27" s="20" t="s">
        <v>48</v>
      </c>
      <c r="C27" s="21">
        <v>22.989768000000002</v>
      </c>
      <c r="D27" s="21"/>
      <c r="E27" s="20" t="s">
        <v>49</v>
      </c>
      <c r="F27" s="20" t="s">
        <v>50</v>
      </c>
      <c r="G27" s="21">
        <v>55.847000000000001</v>
      </c>
      <c r="J27" t="s">
        <v>107</v>
      </c>
    </row>
    <row r="28" spans="1:43" x14ac:dyDescent="0.3">
      <c r="A28" s="20" t="s">
        <v>51</v>
      </c>
      <c r="B28" s="20" t="s">
        <v>52</v>
      </c>
      <c r="C28" s="21">
        <v>39.098300000000002</v>
      </c>
      <c r="D28" s="21"/>
      <c r="E28" s="20" t="s">
        <v>53</v>
      </c>
      <c r="F28" s="20" t="s">
        <v>54</v>
      </c>
      <c r="G28" s="21">
        <v>55.847000000000001</v>
      </c>
      <c r="J28" t="s">
        <v>108</v>
      </c>
    </row>
    <row r="29" spans="1:43" x14ac:dyDescent="0.3">
      <c r="A29" s="20" t="s">
        <v>55</v>
      </c>
      <c r="B29" s="20" t="s">
        <v>56</v>
      </c>
      <c r="C29" s="21">
        <v>40.078000000000003</v>
      </c>
      <c r="D29" s="21"/>
      <c r="E29" s="20" t="s">
        <v>57</v>
      </c>
      <c r="F29" s="20" t="s">
        <v>58</v>
      </c>
      <c r="G29" s="21">
        <v>54.93085</v>
      </c>
      <c r="J29" t="s">
        <v>109</v>
      </c>
    </row>
    <row r="30" spans="1:43" x14ac:dyDescent="0.3">
      <c r="A30" s="20" t="s">
        <v>59</v>
      </c>
      <c r="B30" s="20" t="s">
        <v>60</v>
      </c>
      <c r="C30" s="21">
        <v>24.305</v>
      </c>
      <c r="D30" s="21"/>
      <c r="E30" s="20" t="s">
        <v>61</v>
      </c>
      <c r="F30" s="20" t="s">
        <v>62</v>
      </c>
      <c r="G30" s="21">
        <v>26.981999999999999</v>
      </c>
      <c r="J30" t="s">
        <v>110</v>
      </c>
    </row>
    <row r="31" spans="1:43" ht="15" x14ac:dyDescent="0.35">
      <c r="A31" s="20" t="s">
        <v>63</v>
      </c>
      <c r="B31" s="20" t="s">
        <v>64</v>
      </c>
      <c r="C31" s="21">
        <v>35.4527</v>
      </c>
      <c r="D31" s="21"/>
      <c r="E31" s="20" t="s">
        <v>65</v>
      </c>
      <c r="F31" s="20" t="s">
        <v>66</v>
      </c>
      <c r="G31" s="21">
        <v>18.039000000000001</v>
      </c>
      <c r="J31" t="s">
        <v>115</v>
      </c>
    </row>
    <row r="32" spans="1:43" ht="15" x14ac:dyDescent="0.35">
      <c r="A32" s="20" t="s">
        <v>67</v>
      </c>
      <c r="B32" s="20" t="s">
        <v>68</v>
      </c>
      <c r="C32" s="21">
        <v>96.063599999999994</v>
      </c>
      <c r="D32" s="21"/>
      <c r="E32" s="20" t="s">
        <v>69</v>
      </c>
      <c r="F32" s="20" t="s">
        <v>70</v>
      </c>
      <c r="G32" s="21">
        <v>63.545999999999999</v>
      </c>
    </row>
    <row r="33" spans="1:40" ht="15" x14ac:dyDescent="0.35">
      <c r="A33" s="20" t="s">
        <v>71</v>
      </c>
      <c r="B33" s="20" t="s">
        <v>72</v>
      </c>
      <c r="C33" s="21">
        <v>61.017139999999998</v>
      </c>
      <c r="D33" s="21"/>
      <c r="E33" s="20" t="s">
        <v>73</v>
      </c>
      <c r="F33" s="20" t="s">
        <v>74</v>
      </c>
      <c r="G33" s="21">
        <v>65.39</v>
      </c>
      <c r="J33" t="s">
        <v>117</v>
      </c>
    </row>
    <row r="34" spans="1:40" ht="15" x14ac:dyDescent="0.35">
      <c r="A34" s="20" t="s">
        <v>75</v>
      </c>
      <c r="B34" s="20" t="s">
        <v>76</v>
      </c>
      <c r="C34" s="21">
        <v>62.004939999999998</v>
      </c>
      <c r="D34" s="21"/>
      <c r="E34" s="20" t="s">
        <v>77</v>
      </c>
      <c r="F34" s="20" t="s">
        <v>78</v>
      </c>
      <c r="G34" s="21">
        <v>94.971000000000004</v>
      </c>
      <c r="AM34">
        <v>0</v>
      </c>
      <c r="AN34" s="7">
        <v>0</v>
      </c>
    </row>
    <row r="35" spans="1:40" ht="15" x14ac:dyDescent="0.35">
      <c r="A35" s="20" t="s">
        <v>79</v>
      </c>
      <c r="B35" s="20" t="s">
        <v>80</v>
      </c>
      <c r="C35" s="21">
        <v>28.0855</v>
      </c>
      <c r="D35" s="21"/>
      <c r="E35" s="20" t="s">
        <v>81</v>
      </c>
      <c r="F35" s="20" t="s">
        <v>82</v>
      </c>
      <c r="G35" s="21">
        <v>46.005540000000003</v>
      </c>
      <c r="J35" t="s">
        <v>118</v>
      </c>
      <c r="AM35">
        <v>200</v>
      </c>
      <c r="AN35" s="7">
        <v>200</v>
      </c>
    </row>
    <row r="36" spans="1:40" ht="15" x14ac:dyDescent="0.35">
      <c r="A36" s="20" t="s">
        <v>83</v>
      </c>
      <c r="B36" s="20" t="s">
        <v>84</v>
      </c>
      <c r="C36" s="21">
        <v>60.084299999999999</v>
      </c>
      <c r="D36" s="21"/>
      <c r="E36" s="20" t="s">
        <v>85</v>
      </c>
      <c r="F36" s="20" t="s">
        <v>86</v>
      </c>
      <c r="G36" s="21">
        <v>18.998403199999998</v>
      </c>
      <c r="J36" t="s">
        <v>119</v>
      </c>
    </row>
    <row r="37" spans="1:40" ht="15" x14ac:dyDescent="0.35">
      <c r="A37" s="20" t="s">
        <v>87</v>
      </c>
      <c r="B37" s="20" t="s">
        <v>88</v>
      </c>
      <c r="C37" s="21">
        <v>18.015279999999994</v>
      </c>
      <c r="D37" s="21"/>
      <c r="E37" s="20" t="s">
        <v>89</v>
      </c>
      <c r="F37" s="19" t="s">
        <v>90</v>
      </c>
      <c r="G37" s="19">
        <v>79.903999999999996</v>
      </c>
      <c r="J37" s="48" t="s">
        <v>120</v>
      </c>
    </row>
    <row r="38" spans="1:40" ht="15" x14ac:dyDescent="0.35">
      <c r="A38" s="20" t="s">
        <v>91</v>
      </c>
      <c r="B38" s="20" t="s">
        <v>92</v>
      </c>
      <c r="C38" s="21">
        <v>100.0872</v>
      </c>
      <c r="D38" s="21"/>
      <c r="E38" s="20" t="s">
        <v>93</v>
      </c>
      <c r="F38" s="19" t="s">
        <v>94</v>
      </c>
      <c r="G38" s="19">
        <v>87.62</v>
      </c>
      <c r="J38" s="48" t="s">
        <v>121</v>
      </c>
    </row>
    <row r="39" spans="1:40" ht="15" x14ac:dyDescent="0.35">
      <c r="A39" s="20" t="s">
        <v>95</v>
      </c>
      <c r="B39" s="20" t="s">
        <v>96</v>
      </c>
      <c r="C39" s="21">
        <v>60.009</v>
      </c>
      <c r="D39" s="19"/>
      <c r="E39" s="19" t="s">
        <v>97</v>
      </c>
      <c r="F39" s="19" t="s">
        <v>98</v>
      </c>
      <c r="G39" s="21">
        <v>207.2</v>
      </c>
      <c r="J39" s="48" t="s">
        <v>122</v>
      </c>
    </row>
    <row r="41" spans="1:40" x14ac:dyDescent="0.3">
      <c r="J41" s="49" t="s">
        <v>125</v>
      </c>
    </row>
    <row r="42" spans="1:40" x14ac:dyDescent="0.3">
      <c r="H42" t="s">
        <v>116</v>
      </c>
      <c r="J42" s="1" t="s">
        <v>0</v>
      </c>
      <c r="K42" s="1" t="s">
        <v>1</v>
      </c>
      <c r="L42" t="s">
        <v>123</v>
      </c>
      <c r="M42" t="s">
        <v>124</v>
      </c>
    </row>
    <row r="43" spans="1:40" x14ac:dyDescent="0.3">
      <c r="J43" s="1"/>
      <c r="K43" s="1"/>
      <c r="L43" t="s">
        <v>114</v>
      </c>
      <c r="M43" t="s">
        <v>114</v>
      </c>
    </row>
    <row r="44" spans="1:40" x14ac:dyDescent="0.3">
      <c r="H44">
        <v>176.8</v>
      </c>
      <c r="J44" s="8">
        <v>58</v>
      </c>
      <c r="K44" s="8" t="s">
        <v>21</v>
      </c>
      <c r="L44">
        <v>104.86695631310022</v>
      </c>
      <c r="M44">
        <v>3.9588127182665946</v>
      </c>
      <c r="N44" t="s">
        <v>14</v>
      </c>
    </row>
    <row r="45" spans="1:40" x14ac:dyDescent="0.3">
      <c r="H45">
        <v>2.7</v>
      </c>
      <c r="J45" s="8">
        <v>60</v>
      </c>
      <c r="K45" s="8" t="s">
        <v>23</v>
      </c>
      <c r="L45">
        <v>16.506082334637</v>
      </c>
      <c r="M45">
        <v>64.426341698596673</v>
      </c>
      <c r="N45" t="s">
        <v>15</v>
      </c>
    </row>
    <row r="46" spans="1:40" x14ac:dyDescent="0.3">
      <c r="H46">
        <v>5.37</v>
      </c>
      <c r="J46" s="8">
        <v>66</v>
      </c>
      <c r="K46" s="8" t="s">
        <v>24</v>
      </c>
      <c r="L46">
        <v>45.872487516466911</v>
      </c>
      <c r="M46">
        <v>18.244408071072453</v>
      </c>
      <c r="N46" t="s">
        <v>14</v>
      </c>
    </row>
    <row r="47" spans="1:40" x14ac:dyDescent="0.3">
      <c r="H47">
        <v>147</v>
      </c>
      <c r="J47" s="8">
        <v>67</v>
      </c>
      <c r="K47" s="8" t="s">
        <v>25</v>
      </c>
      <c r="L47">
        <v>103.7465478819734</v>
      </c>
      <c r="M47">
        <v>4.3117136492164283</v>
      </c>
      <c r="N47" t="s">
        <v>14</v>
      </c>
    </row>
    <row r="48" spans="1:40" x14ac:dyDescent="0.3">
      <c r="H48">
        <v>8.08</v>
      </c>
      <c r="J48" s="8">
        <v>70</v>
      </c>
      <c r="K48" s="8" t="s">
        <v>26</v>
      </c>
      <c r="L48">
        <v>48.000086686411095</v>
      </c>
      <c r="M48">
        <v>19.621170724899724</v>
      </c>
      <c r="N48" t="s">
        <v>14</v>
      </c>
    </row>
    <row r="49" spans="8:14" x14ac:dyDescent="0.3">
      <c r="H49">
        <v>7.71</v>
      </c>
      <c r="J49" s="8">
        <v>10</v>
      </c>
      <c r="K49" s="8">
        <v>16</v>
      </c>
      <c r="L49">
        <v>35.263001469336849</v>
      </c>
      <c r="M49">
        <v>53.896878473595514</v>
      </c>
      <c r="N49" t="s">
        <v>126</v>
      </c>
    </row>
    <row r="50" spans="8:14" x14ac:dyDescent="0.3">
      <c r="H50">
        <v>8.24</v>
      </c>
      <c r="J50" s="8">
        <v>12</v>
      </c>
      <c r="K50" s="8">
        <v>23</v>
      </c>
      <c r="L50">
        <v>35.072027186996394</v>
      </c>
      <c r="M50">
        <v>48.694193766223066</v>
      </c>
      <c r="N50" t="s">
        <v>126</v>
      </c>
    </row>
    <row r="51" spans="8:14" x14ac:dyDescent="0.3">
      <c r="H51">
        <v>4.42</v>
      </c>
      <c r="J51" s="8">
        <v>26</v>
      </c>
      <c r="K51" s="8" t="s">
        <v>28</v>
      </c>
      <c r="L51">
        <v>35.926716301512279</v>
      </c>
      <c r="M51">
        <v>49.759773975355522</v>
      </c>
      <c r="N51" t="s">
        <v>126</v>
      </c>
    </row>
    <row r="52" spans="8:14" x14ac:dyDescent="0.3">
      <c r="H52">
        <v>2.2000000000000002</v>
      </c>
      <c r="J52" s="8">
        <v>28</v>
      </c>
      <c r="K52" s="8" t="s">
        <v>29</v>
      </c>
      <c r="L52">
        <v>63.295217674150727</v>
      </c>
      <c r="M52">
        <v>13.632533118041614</v>
      </c>
      <c r="N52" t="s">
        <v>14</v>
      </c>
    </row>
    <row r="53" spans="8:14" x14ac:dyDescent="0.3">
      <c r="H53">
        <v>0.53700000000000003</v>
      </c>
      <c r="J53" s="8">
        <v>30</v>
      </c>
      <c r="K53" s="8" t="s">
        <v>30</v>
      </c>
      <c r="L53">
        <v>57.122297167901714</v>
      </c>
      <c r="M53">
        <v>7.4466971718663082</v>
      </c>
      <c r="N53" t="s">
        <v>14</v>
      </c>
    </row>
    <row r="54" spans="8:14" x14ac:dyDescent="0.3">
      <c r="H54">
        <v>27.1</v>
      </c>
      <c r="J54" s="8">
        <v>45</v>
      </c>
      <c r="K54" s="8" t="s">
        <v>31</v>
      </c>
      <c r="L54">
        <v>76.239099386483616</v>
      </c>
      <c r="M54">
        <v>11.80480112558585</v>
      </c>
      <c r="N54" t="s">
        <v>14</v>
      </c>
    </row>
    <row r="55" spans="8:14" x14ac:dyDescent="0.3">
      <c r="H55">
        <v>6.79</v>
      </c>
      <c r="J55" s="8">
        <v>47</v>
      </c>
      <c r="K55" s="8" t="s">
        <v>32</v>
      </c>
      <c r="L55">
        <v>28.397562114258957</v>
      </c>
      <c r="M55">
        <v>51.23744406073962</v>
      </c>
      <c r="N55" t="s">
        <v>126</v>
      </c>
    </row>
    <row r="56" spans="8:14" x14ac:dyDescent="0.3">
      <c r="H56">
        <v>10.050000000000001</v>
      </c>
      <c r="J56" s="8">
        <v>61</v>
      </c>
      <c r="K56" s="8" t="s">
        <v>33</v>
      </c>
      <c r="L56">
        <v>31.8271445885708</v>
      </c>
      <c r="M56">
        <v>22.879143475054914</v>
      </c>
      <c r="N56" t="s">
        <v>126</v>
      </c>
    </row>
    <row r="57" spans="8:14" x14ac:dyDescent="0.3">
      <c r="H57">
        <v>92</v>
      </c>
      <c r="J57" s="8">
        <v>14</v>
      </c>
      <c r="K57" s="8" t="s">
        <v>34</v>
      </c>
      <c r="L57">
        <v>64.215382626772396</v>
      </c>
      <c r="M57">
        <v>7.3892280958660361</v>
      </c>
      <c r="N57" t="s">
        <v>14</v>
      </c>
    </row>
    <row r="58" spans="8:14" x14ac:dyDescent="0.3">
      <c r="H58">
        <v>30.2</v>
      </c>
      <c r="J58" s="8">
        <v>23</v>
      </c>
      <c r="K58" s="8" t="s">
        <v>36</v>
      </c>
      <c r="L58">
        <v>72.005930035274872</v>
      </c>
      <c r="M58">
        <v>11.255115642709857</v>
      </c>
      <c r="N58" t="s">
        <v>14</v>
      </c>
    </row>
    <row r="59" spans="8:14" x14ac:dyDescent="0.3">
      <c r="H59">
        <v>1.1830000000000001</v>
      </c>
      <c r="J59" s="8">
        <v>27</v>
      </c>
      <c r="K59" s="8" t="s">
        <v>37</v>
      </c>
      <c r="L59">
        <v>27.602169329033572</v>
      </c>
      <c r="M59">
        <v>62.4798459031216</v>
      </c>
      <c r="N59" t="s">
        <v>15</v>
      </c>
    </row>
    <row r="60" spans="8:14" x14ac:dyDescent="0.3">
      <c r="H60">
        <v>1.625</v>
      </c>
      <c r="J60" s="8">
        <v>29</v>
      </c>
      <c r="K60" s="8" t="s">
        <v>38</v>
      </c>
      <c r="L60">
        <v>65.885401806220244</v>
      </c>
      <c r="M60">
        <v>12.304235019360638</v>
      </c>
      <c r="N60" t="s">
        <v>14</v>
      </c>
    </row>
    <row r="61" spans="8:14" x14ac:dyDescent="0.3">
      <c r="H61">
        <v>2</v>
      </c>
      <c r="J61" s="8">
        <v>31</v>
      </c>
      <c r="K61" s="8" t="s">
        <v>39</v>
      </c>
      <c r="L61">
        <v>45.773664629210195</v>
      </c>
      <c r="M61">
        <v>52.98511205212175</v>
      </c>
      <c r="N61" t="s">
        <v>126</v>
      </c>
    </row>
    <row r="62" spans="8:14" x14ac:dyDescent="0.3">
      <c r="H62">
        <v>12.3</v>
      </c>
      <c r="J62" s="8">
        <v>46</v>
      </c>
      <c r="K62" s="8" t="s">
        <v>40</v>
      </c>
      <c r="L62">
        <v>59.731710321190349</v>
      </c>
      <c r="M62">
        <v>25.358728271609117</v>
      </c>
      <c r="N62" t="s">
        <v>14</v>
      </c>
    </row>
    <row r="63" spans="8:14" x14ac:dyDescent="0.3">
      <c r="H63">
        <v>11.82</v>
      </c>
      <c r="J63" s="8">
        <v>48</v>
      </c>
      <c r="K63" s="8" t="s">
        <v>41</v>
      </c>
      <c r="L63">
        <v>37.33364962902813</v>
      </c>
      <c r="M63">
        <v>39.92110092998989</v>
      </c>
      <c r="N63" t="s">
        <v>126</v>
      </c>
    </row>
    <row r="64" spans="8:14" x14ac:dyDescent="0.3">
      <c r="H64">
        <v>39</v>
      </c>
      <c r="J64" s="8">
        <v>68</v>
      </c>
      <c r="K64" s="8" t="s">
        <v>42</v>
      </c>
      <c r="L64">
        <v>68.459579187958127</v>
      </c>
      <c r="M64">
        <v>9.9971909532305201</v>
      </c>
      <c r="N64" t="s">
        <v>14</v>
      </c>
    </row>
  </sheetData>
  <mergeCells count="5">
    <mergeCell ref="C1:E1"/>
    <mergeCell ref="F1:H1"/>
    <mergeCell ref="I1:K1"/>
    <mergeCell ref="L1:N1"/>
    <mergeCell ref="O1:Q1"/>
  </mergeCells>
  <conditionalFormatting sqref="B9:B23 B3:B7">
    <cfRule type="expression" dxfId="18" priority="10" stopIfTrue="1">
      <formula>"same value"</formula>
    </cfRule>
  </conditionalFormatting>
  <conditionalFormatting sqref="B20">
    <cfRule type="expression" dxfId="17" priority="9" stopIfTrue="1">
      <formula>"same value"</formula>
    </cfRule>
  </conditionalFormatting>
  <conditionalFormatting sqref="B7">
    <cfRule type="expression" dxfId="16" priority="8" stopIfTrue="1">
      <formula>"same value"</formula>
    </cfRule>
  </conditionalFormatting>
  <conditionalFormatting sqref="B8">
    <cfRule type="expression" dxfId="15" priority="7" stopIfTrue="1">
      <formula>"same value"</formula>
    </cfRule>
  </conditionalFormatting>
  <conditionalFormatting sqref="B8">
    <cfRule type="expression" dxfId="14" priority="6" stopIfTrue="1">
      <formula>"same value"</formula>
    </cfRule>
  </conditionalFormatting>
  <conditionalFormatting sqref="K49">
    <cfRule type="expression" dxfId="13" priority="1" stopIfTrue="1">
      <formula>"same value"</formula>
    </cfRule>
  </conditionalFormatting>
  <conditionalFormatting sqref="K50:K64 K44:K48">
    <cfRule type="expression" dxfId="12" priority="5" stopIfTrue="1">
      <formula>"same value"</formula>
    </cfRule>
  </conditionalFormatting>
  <conditionalFormatting sqref="K61">
    <cfRule type="expression" dxfId="11" priority="4" stopIfTrue="1">
      <formula>"same value"</formula>
    </cfRule>
  </conditionalFormatting>
  <conditionalFormatting sqref="K48">
    <cfRule type="expression" dxfId="10" priority="3" stopIfTrue="1">
      <formula>"same value"</formula>
    </cfRule>
  </conditionalFormatting>
  <conditionalFormatting sqref="K49">
    <cfRule type="expression" dxfId="9" priority="2" stopIfTrue="1">
      <formula>"same value"</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9" sqref="F29"/>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2"/>
  <sheetViews>
    <sheetView workbookViewId="0">
      <selection activeCell="I18" sqref="I18"/>
    </sheetView>
  </sheetViews>
  <sheetFormatPr defaultRowHeight="14.4" x14ac:dyDescent="0.3"/>
  <sheetData>
    <row r="1" spans="1:5" x14ac:dyDescent="0.3">
      <c r="A1" t="s">
        <v>127</v>
      </c>
      <c r="B1" t="s">
        <v>128</v>
      </c>
    </row>
    <row r="2" spans="1:5" x14ac:dyDescent="0.3">
      <c r="B2" t="s">
        <v>129</v>
      </c>
    </row>
    <row r="3" spans="1:5" ht="13.8" customHeight="1" x14ac:dyDescent="0.3">
      <c r="B3" s="50" t="s">
        <v>130</v>
      </c>
    </row>
    <row r="5" spans="1:5" x14ac:dyDescent="0.3">
      <c r="A5" t="s">
        <v>131</v>
      </c>
    </row>
    <row r="7" spans="1:5" x14ac:dyDescent="0.3">
      <c r="A7" s="1" t="s">
        <v>0</v>
      </c>
      <c r="B7" s="1" t="s">
        <v>1</v>
      </c>
      <c r="C7" s="2" t="s">
        <v>2</v>
      </c>
      <c r="D7" s="17" t="s">
        <v>132</v>
      </c>
      <c r="E7" s="52" t="s">
        <v>133</v>
      </c>
    </row>
    <row r="8" spans="1:5" x14ac:dyDescent="0.3">
      <c r="A8" s="8">
        <v>60</v>
      </c>
      <c r="B8" s="8" t="s">
        <v>23</v>
      </c>
      <c r="C8" s="7" t="s">
        <v>22</v>
      </c>
      <c r="D8">
        <v>0.44566422303519904</v>
      </c>
      <c r="E8" s="51">
        <f t="shared" ref="E8:E20" si="0">$D$15/D8*100</f>
        <v>68.829113924050631</v>
      </c>
    </row>
    <row r="9" spans="1:5" x14ac:dyDescent="0.3">
      <c r="A9" s="8">
        <v>66</v>
      </c>
      <c r="B9" s="8" t="s">
        <v>24</v>
      </c>
      <c r="C9" s="7" t="s">
        <v>22</v>
      </c>
      <c r="D9">
        <v>2.463352579634273</v>
      </c>
      <c r="E9" s="51">
        <f t="shared" si="0"/>
        <v>12.452408897031463</v>
      </c>
    </row>
    <row r="10" spans="1:5" x14ac:dyDescent="0.3">
      <c r="A10" s="8">
        <v>70</v>
      </c>
      <c r="B10" s="8" t="s">
        <v>26</v>
      </c>
      <c r="C10" s="7" t="s">
        <v>22</v>
      </c>
      <c r="D10">
        <v>3.8784070042620167</v>
      </c>
      <c r="E10" s="51">
        <f t="shared" si="0"/>
        <v>7.9090909090909101</v>
      </c>
    </row>
    <row r="11" spans="1:5" x14ac:dyDescent="0.3">
      <c r="A11" s="8">
        <v>10</v>
      </c>
      <c r="B11" s="8">
        <v>16</v>
      </c>
      <c r="C11" s="7" t="s">
        <v>27</v>
      </c>
      <c r="D11">
        <v>2.7187774132858711</v>
      </c>
      <c r="E11" s="51">
        <f t="shared" si="0"/>
        <v>11.282524795617713</v>
      </c>
    </row>
    <row r="12" spans="1:5" x14ac:dyDescent="0.3">
      <c r="A12" s="8">
        <v>12</v>
      </c>
      <c r="B12" s="8">
        <v>23</v>
      </c>
      <c r="C12" s="7" t="s">
        <v>27</v>
      </c>
      <c r="D12">
        <v>2.8899350402085027</v>
      </c>
      <c r="E12" s="51">
        <f t="shared" si="0"/>
        <v>10.614312485359571</v>
      </c>
    </row>
    <row r="13" spans="1:5" x14ac:dyDescent="0.3">
      <c r="A13" s="8">
        <v>26</v>
      </c>
      <c r="B13" s="8" t="s">
        <v>28</v>
      </c>
      <c r="C13" s="7" t="s">
        <v>27</v>
      </c>
      <c r="D13">
        <v>1.5879608605268427</v>
      </c>
      <c r="E13" s="51">
        <f t="shared" si="0"/>
        <v>19.317021182112885</v>
      </c>
    </row>
    <row r="14" spans="1:5" x14ac:dyDescent="0.3">
      <c r="A14" s="8">
        <v>28</v>
      </c>
      <c r="B14" s="8" t="s">
        <v>29</v>
      </c>
      <c r="C14" s="7" t="s">
        <v>27</v>
      </c>
      <c r="D14">
        <v>1.3924947888313162</v>
      </c>
      <c r="E14" s="51">
        <f t="shared" si="0"/>
        <v>22.028573338437884</v>
      </c>
    </row>
    <row r="15" spans="1:5" x14ac:dyDescent="0.3">
      <c r="A15" s="8">
        <v>30</v>
      </c>
      <c r="B15" s="8" t="s">
        <v>30</v>
      </c>
      <c r="C15" s="7" t="s">
        <v>27</v>
      </c>
      <c r="D15">
        <v>0.30674673579163225</v>
      </c>
      <c r="E15" s="51">
        <f t="shared" si="0"/>
        <v>100</v>
      </c>
    </row>
    <row r="16" spans="1:5" x14ac:dyDescent="0.3">
      <c r="A16" s="8">
        <v>47</v>
      </c>
      <c r="B16" s="8" t="s">
        <v>32</v>
      </c>
      <c r="C16" s="7" t="s">
        <v>27</v>
      </c>
      <c r="D16">
        <v>1.9281944675581832</v>
      </c>
      <c r="E16" s="51">
        <f t="shared" si="0"/>
        <v>15.908495795037133</v>
      </c>
    </row>
    <row r="17" spans="1:20" x14ac:dyDescent="0.3">
      <c r="A17" s="8">
        <v>61</v>
      </c>
      <c r="B17" s="8" t="s">
        <v>33</v>
      </c>
      <c r="C17" s="7" t="s">
        <v>27</v>
      </c>
      <c r="D17">
        <v>3.1986280311513653</v>
      </c>
      <c r="E17" s="51">
        <f t="shared" si="0"/>
        <v>9.5899470899470902</v>
      </c>
    </row>
    <row r="18" spans="1:20" x14ac:dyDescent="0.3">
      <c r="A18" s="8">
        <v>27</v>
      </c>
      <c r="B18" s="8" t="s">
        <v>37</v>
      </c>
      <c r="C18" s="7" t="s">
        <v>35</v>
      </c>
      <c r="D18">
        <v>0.32653366316246718</v>
      </c>
      <c r="E18" s="51">
        <f t="shared" si="0"/>
        <v>93.940310111000741</v>
      </c>
    </row>
    <row r="19" spans="1:20" x14ac:dyDescent="0.3">
      <c r="A19" s="8">
        <v>29</v>
      </c>
      <c r="B19" s="8" t="s">
        <v>38</v>
      </c>
      <c r="C19" s="7" t="s">
        <v>35</v>
      </c>
      <c r="D19">
        <v>1.0706377793510791</v>
      </c>
      <c r="E19" s="51">
        <f t="shared" si="0"/>
        <v>28.650841741971178</v>
      </c>
    </row>
    <row r="20" spans="1:20" x14ac:dyDescent="0.3">
      <c r="A20" s="8">
        <v>31</v>
      </c>
      <c r="B20" s="8" t="s">
        <v>39</v>
      </c>
      <c r="C20" s="7" t="s">
        <v>35</v>
      </c>
      <c r="D20">
        <v>0.91547329258420385</v>
      </c>
      <c r="E20" s="51">
        <f t="shared" si="0"/>
        <v>33.506901651466599</v>
      </c>
    </row>
    <row r="21" spans="1:20" x14ac:dyDescent="0.3">
      <c r="D21" t="s">
        <v>134</v>
      </c>
      <c r="E21" s="51">
        <f>AVERAGE(E8:E20)</f>
        <v>33.386887840086445</v>
      </c>
    </row>
    <row r="22" spans="1:20" x14ac:dyDescent="0.3">
      <c r="D22" t="s">
        <v>135</v>
      </c>
      <c r="E22" s="51">
        <f>MEDIAN(E8:E20)</f>
        <v>19.317021182112885</v>
      </c>
    </row>
    <row r="23" spans="1:20" x14ac:dyDescent="0.3">
      <c r="D23" t="s">
        <v>137</v>
      </c>
      <c r="E23" s="51">
        <f>MAX(E8:E20)</f>
        <v>100</v>
      </c>
    </row>
    <row r="24" spans="1:20" x14ac:dyDescent="0.3">
      <c r="D24" t="s">
        <v>136</v>
      </c>
      <c r="E24" s="51">
        <f>MIN(E8:E20)</f>
        <v>7.9090909090909101</v>
      </c>
    </row>
    <row r="25" spans="1:20" x14ac:dyDescent="0.3">
      <c r="A25" t="s">
        <v>144</v>
      </c>
      <c r="E25" s="51"/>
    </row>
    <row r="26" spans="1:20" x14ac:dyDescent="0.3">
      <c r="A26" t="s">
        <v>145</v>
      </c>
    </row>
    <row r="28" spans="1:20" x14ac:dyDescent="0.3">
      <c r="A28" t="s">
        <v>138</v>
      </c>
      <c r="G28" t="s">
        <v>140</v>
      </c>
      <c r="L28" t="s">
        <v>142</v>
      </c>
      <c r="Q28" t="s">
        <v>143</v>
      </c>
    </row>
    <row r="29" spans="1:20" x14ac:dyDescent="0.3">
      <c r="A29" s="1" t="s">
        <v>0</v>
      </c>
      <c r="B29" s="1" t="s">
        <v>1</v>
      </c>
      <c r="C29" s="2" t="s">
        <v>2</v>
      </c>
      <c r="D29" s="17" t="s">
        <v>132</v>
      </c>
      <c r="E29" s="52" t="s">
        <v>139</v>
      </c>
      <c r="G29" t="s">
        <v>10</v>
      </c>
      <c r="H29" t="s">
        <v>12</v>
      </c>
      <c r="I29" t="s">
        <v>14</v>
      </c>
      <c r="J29" t="s">
        <v>15</v>
      </c>
      <c r="L29" t="s">
        <v>10</v>
      </c>
      <c r="M29" t="s">
        <v>12</v>
      </c>
      <c r="N29" t="s">
        <v>14</v>
      </c>
      <c r="O29" t="s">
        <v>15</v>
      </c>
      <c r="Q29" t="s">
        <v>10</v>
      </c>
      <c r="R29" t="s">
        <v>12</v>
      </c>
      <c r="S29" t="s">
        <v>14</v>
      </c>
      <c r="T29" t="s">
        <v>15</v>
      </c>
    </row>
    <row r="30" spans="1:20" x14ac:dyDescent="0.3">
      <c r="A30" s="8">
        <v>30</v>
      </c>
      <c r="B30" s="8" t="s">
        <v>30</v>
      </c>
      <c r="C30" s="7" t="s">
        <v>141</v>
      </c>
      <c r="D30">
        <v>0.30674673579163225</v>
      </c>
      <c r="E30" s="51">
        <f t="shared" ref="E30:E42" si="1">D30/D$30</f>
        <v>1</v>
      </c>
      <c r="G30">
        <v>0.21009346418806835</v>
      </c>
      <c r="H30">
        <v>6.0631768052298016E-2</v>
      </c>
      <c r="I30">
        <v>0.30674673579163225</v>
      </c>
      <c r="J30">
        <v>3.9988763812922073E-2</v>
      </c>
      <c r="L30">
        <f>G$30*$E30</f>
        <v>0.21009346418806835</v>
      </c>
      <c r="M30">
        <f t="shared" ref="M30:O30" si="2">H$30*$E30</f>
        <v>6.0631768052298016E-2</v>
      </c>
      <c r="N30">
        <f t="shared" si="2"/>
        <v>0.30674673579163225</v>
      </c>
      <c r="O30">
        <f t="shared" si="2"/>
        <v>3.9988763812922073E-2</v>
      </c>
      <c r="Q30">
        <f>G30-L30</f>
        <v>0</v>
      </c>
      <c r="R30">
        <f t="shared" ref="R30:T30" si="3">H30-M30</f>
        <v>0</v>
      </c>
      <c r="S30">
        <f t="shared" si="3"/>
        <v>0</v>
      </c>
      <c r="T30">
        <f t="shared" si="3"/>
        <v>0</v>
      </c>
    </row>
    <row r="31" spans="1:20" x14ac:dyDescent="0.3">
      <c r="A31" s="8">
        <v>60</v>
      </c>
      <c r="B31" s="8" t="s">
        <v>23</v>
      </c>
      <c r="C31" s="7" t="s">
        <v>22</v>
      </c>
      <c r="D31">
        <v>0.44566422303519904</v>
      </c>
      <c r="E31" s="51">
        <f t="shared" si="1"/>
        <v>1.4528735632183909</v>
      </c>
      <c r="G31">
        <v>1.4049728557504362</v>
      </c>
      <c r="H31">
        <v>0.30440640750536452</v>
      </c>
      <c r="I31">
        <v>0.44566422303519904</v>
      </c>
      <c r="J31">
        <v>1.7395112258621104</v>
      </c>
      <c r="L31">
        <f t="shared" ref="L31:L42" si="4">G$30*$E31</f>
        <v>0.30523923992381424</v>
      </c>
      <c r="M31">
        <f t="shared" ref="M31:M42" si="5">H$30*$E31</f>
        <v>8.8090292894373215E-2</v>
      </c>
      <c r="N31">
        <f t="shared" ref="N31:N42" si="6">I$30*$E31</f>
        <v>0.44566422303519909</v>
      </c>
      <c r="O31">
        <f t="shared" ref="O31:O42" si="7">J$30*$E31</f>
        <v>5.8098617769578739E-2</v>
      </c>
      <c r="Q31">
        <f t="shared" ref="Q31:Q42" si="8">G31-L31</f>
        <v>1.099733615826622</v>
      </c>
      <c r="R31">
        <f t="shared" ref="R31:R42" si="9">H31-M31</f>
        <v>0.21631611461099132</v>
      </c>
      <c r="S31">
        <f t="shared" ref="S31:S42" si="10">I31-N31</f>
        <v>0</v>
      </c>
      <c r="T31">
        <f t="shared" ref="T31:T42" si="11">J31-O31</f>
        <v>1.6814126080925316</v>
      </c>
    </row>
    <row r="32" spans="1:20" x14ac:dyDescent="0.3">
      <c r="A32" s="8">
        <v>66</v>
      </c>
      <c r="B32" s="8" t="s">
        <v>24</v>
      </c>
      <c r="C32" s="7" t="s">
        <v>22</v>
      </c>
      <c r="D32">
        <v>2.463352579634273</v>
      </c>
      <c r="E32" s="51">
        <f t="shared" si="1"/>
        <v>8.0305747126436771</v>
      </c>
      <c r="G32">
        <v>1.6920570925291631</v>
      </c>
      <c r="H32">
        <v>0.36179450072358899</v>
      </c>
      <c r="I32">
        <v>2.463352579634273</v>
      </c>
      <c r="J32">
        <v>0.97972471341659084</v>
      </c>
      <c r="L32">
        <f t="shared" si="4"/>
        <v>1.6871712608004117</v>
      </c>
      <c r="M32">
        <f t="shared" si="5"/>
        <v>0.48690794330366122</v>
      </c>
      <c r="N32">
        <f t="shared" si="6"/>
        <v>2.463352579634273</v>
      </c>
      <c r="O32">
        <f t="shared" si="7"/>
        <v>0.32113275546593256</v>
      </c>
      <c r="Q32">
        <f t="shared" si="8"/>
        <v>4.8858317287514552E-3</v>
      </c>
      <c r="R32">
        <f t="shared" si="9"/>
        <v>-0.12511344258007223</v>
      </c>
      <c r="S32">
        <f t="shared" si="10"/>
        <v>0</v>
      </c>
      <c r="T32">
        <f t="shared" si="11"/>
        <v>0.65859195795065828</v>
      </c>
    </row>
    <row r="33" spans="1:20" x14ac:dyDescent="0.3">
      <c r="A33" s="8">
        <v>70</v>
      </c>
      <c r="B33" s="8" t="s">
        <v>26</v>
      </c>
      <c r="C33" s="7" t="s">
        <v>22</v>
      </c>
      <c r="D33">
        <v>3.8784070042620167</v>
      </c>
      <c r="E33" s="51">
        <f t="shared" si="1"/>
        <v>12.643678160919539</v>
      </c>
      <c r="G33">
        <v>3.8234400625530451</v>
      </c>
      <c r="H33">
        <v>0.71610359798393131</v>
      </c>
      <c r="I33">
        <v>3.8784070042620167</v>
      </c>
      <c r="J33">
        <v>1.5853905945718976</v>
      </c>
      <c r="L33">
        <f t="shared" si="4"/>
        <v>2.656354144906611</v>
      </c>
      <c r="M33">
        <f t="shared" si="5"/>
        <v>0.76660856158077939</v>
      </c>
      <c r="N33">
        <f t="shared" si="6"/>
        <v>3.8784070042620167</v>
      </c>
      <c r="O33">
        <f t="shared" si="7"/>
        <v>0.50560505970361236</v>
      </c>
      <c r="Q33">
        <f t="shared" si="8"/>
        <v>1.1670859176464341</v>
      </c>
      <c r="R33">
        <f t="shared" si="9"/>
        <v>-5.0504963596848085E-2</v>
      </c>
      <c r="S33">
        <f t="shared" si="10"/>
        <v>0</v>
      </c>
      <c r="T33">
        <f t="shared" si="11"/>
        <v>1.0797855348682852</v>
      </c>
    </row>
    <row r="34" spans="1:20" x14ac:dyDescent="0.3">
      <c r="A34" s="8">
        <v>10</v>
      </c>
      <c r="B34" s="8">
        <v>16</v>
      </c>
      <c r="C34" s="7" t="s">
        <v>27</v>
      </c>
      <c r="D34">
        <v>2.7187774132858711</v>
      </c>
      <c r="E34" s="51">
        <f t="shared" si="1"/>
        <v>8.8632643678160914</v>
      </c>
      <c r="G34">
        <v>4.884781786401672</v>
      </c>
      <c r="H34">
        <v>0.6387544288637157</v>
      </c>
      <c r="I34">
        <v>2.7187774132858711</v>
      </c>
      <c r="J34">
        <v>4.1554493303142142</v>
      </c>
      <c r="L34">
        <f t="shared" si="4"/>
        <v>1.8621139150491521</v>
      </c>
      <c r="M34">
        <f t="shared" si="5"/>
        <v>0.53739538933562303</v>
      </c>
      <c r="N34">
        <f t="shared" si="6"/>
        <v>2.7187774132858711</v>
      </c>
      <c r="O34">
        <f t="shared" si="7"/>
        <v>0.35443098541608575</v>
      </c>
      <c r="Q34">
        <f t="shared" si="8"/>
        <v>3.0226678713525201</v>
      </c>
      <c r="R34">
        <f t="shared" si="9"/>
        <v>0.10135903952809266</v>
      </c>
      <c r="S34">
        <f t="shared" si="10"/>
        <v>0</v>
      </c>
      <c r="T34">
        <f t="shared" si="11"/>
        <v>3.8010183448981283</v>
      </c>
    </row>
    <row r="35" spans="1:20" x14ac:dyDescent="0.3">
      <c r="A35" s="8">
        <v>12</v>
      </c>
      <c r="B35" s="8">
        <v>23</v>
      </c>
      <c r="C35" s="7" t="s">
        <v>27</v>
      </c>
      <c r="D35">
        <v>2.8899350402085027</v>
      </c>
      <c r="E35" s="51">
        <f t="shared" si="1"/>
        <v>9.4212413793103433</v>
      </c>
      <c r="G35">
        <v>4.4411061477436391</v>
      </c>
      <c r="H35">
        <v>1.0828883676830181</v>
      </c>
      <c r="I35">
        <v>2.8899350402085027</v>
      </c>
      <c r="J35">
        <v>4.0124015663367807</v>
      </c>
      <c r="L35">
        <f t="shared" si="4"/>
        <v>1.9793412383312852</v>
      </c>
      <c r="M35">
        <f t="shared" si="5"/>
        <v>0.57122652207505697</v>
      </c>
      <c r="N35">
        <f t="shared" si="6"/>
        <v>2.8899350402085031</v>
      </c>
      <c r="O35">
        <f t="shared" si="7"/>
        <v>0.37674379634176952</v>
      </c>
      <c r="Q35">
        <f t="shared" si="8"/>
        <v>2.4617649094123539</v>
      </c>
      <c r="R35">
        <f t="shared" si="9"/>
        <v>0.51166184560796113</v>
      </c>
      <c r="S35">
        <f t="shared" si="10"/>
        <v>0</v>
      </c>
      <c r="T35">
        <f t="shared" si="11"/>
        <v>3.635657769995011</v>
      </c>
    </row>
    <row r="36" spans="1:20" x14ac:dyDescent="0.3">
      <c r="A36" s="8">
        <v>26</v>
      </c>
      <c r="B36" s="8" t="s">
        <v>28</v>
      </c>
      <c r="C36" s="7" t="s">
        <v>27</v>
      </c>
      <c r="D36">
        <v>1.5879608605268427</v>
      </c>
      <c r="E36" s="51">
        <f t="shared" si="1"/>
        <v>5.1767816091954018</v>
      </c>
      <c r="G36">
        <v>2.6751031154381373</v>
      </c>
      <c r="H36">
        <v>0.31438694545636009</v>
      </c>
      <c r="I36">
        <v>1.5879608605268427</v>
      </c>
      <c r="J36">
        <v>2.199382009710714</v>
      </c>
      <c r="L36">
        <f t="shared" si="4"/>
        <v>1.087607981620945</v>
      </c>
      <c r="M36">
        <f t="shared" si="5"/>
        <v>0.31387742178613764</v>
      </c>
      <c r="N36">
        <f t="shared" si="6"/>
        <v>1.5879608605268427</v>
      </c>
      <c r="O36">
        <f t="shared" si="7"/>
        <v>0.20701309708119359</v>
      </c>
      <c r="Q36">
        <f t="shared" si="8"/>
        <v>1.5874951338171923</v>
      </c>
      <c r="R36">
        <f t="shared" si="9"/>
        <v>5.0952367022244482E-4</v>
      </c>
      <c r="S36">
        <f t="shared" si="10"/>
        <v>0</v>
      </c>
      <c r="T36">
        <f t="shared" si="11"/>
        <v>1.9923689126295203</v>
      </c>
    </row>
    <row r="37" spans="1:20" x14ac:dyDescent="0.3">
      <c r="A37" s="8">
        <v>28</v>
      </c>
      <c r="B37" s="8" t="s">
        <v>29</v>
      </c>
      <c r="C37" s="7" t="s">
        <v>27</v>
      </c>
      <c r="D37">
        <v>1.3924947888313162</v>
      </c>
      <c r="E37" s="51">
        <f t="shared" si="1"/>
        <v>4.5395586206896548</v>
      </c>
      <c r="G37">
        <v>1.1178886189717094</v>
      </c>
      <c r="H37">
        <v>0.10729078297320224</v>
      </c>
      <c r="I37">
        <v>1.3924947888313162</v>
      </c>
      <c r="J37">
        <v>0.29991572859691557</v>
      </c>
      <c r="L37">
        <f t="shared" si="4"/>
        <v>0.95373159650549888</v>
      </c>
      <c r="M37">
        <f t="shared" si="5"/>
        <v>0.27524146534946503</v>
      </c>
      <c r="N37">
        <f t="shared" si="6"/>
        <v>1.3924947888313162</v>
      </c>
      <c r="O37">
        <f t="shared" si="7"/>
        <v>0.18153133749767292</v>
      </c>
      <c r="Q37">
        <f t="shared" si="8"/>
        <v>0.16415702246621056</v>
      </c>
      <c r="R37">
        <f t="shared" si="9"/>
        <v>-0.16795068237626279</v>
      </c>
      <c r="S37">
        <f t="shared" si="10"/>
        <v>0</v>
      </c>
      <c r="T37">
        <f t="shared" si="11"/>
        <v>0.11838439109924265</v>
      </c>
    </row>
    <row r="38" spans="1:20" x14ac:dyDescent="0.3">
      <c r="A38" s="8">
        <v>47</v>
      </c>
      <c r="B38" s="8" t="s">
        <v>32</v>
      </c>
      <c r="C38" s="7" t="s">
        <v>27</v>
      </c>
      <c r="D38">
        <v>1.9281944675581832</v>
      </c>
      <c r="E38" s="51">
        <f t="shared" si="1"/>
        <v>6.285949425287356</v>
      </c>
      <c r="G38">
        <v>2.8577930842973274</v>
      </c>
      <c r="H38">
        <v>1.080393233195269</v>
      </c>
      <c r="I38">
        <v>1.9281944675581832</v>
      </c>
      <c r="J38">
        <v>3.4790224517242208</v>
      </c>
      <c r="L38">
        <f t="shared" si="4"/>
        <v>1.320636890469618</v>
      </c>
      <c r="M38">
        <f t="shared" si="5"/>
        <v>0.38112822754249898</v>
      </c>
      <c r="N38">
        <f t="shared" si="6"/>
        <v>1.9281944675581832</v>
      </c>
      <c r="O38">
        <f t="shared" si="7"/>
        <v>0.25136734690778934</v>
      </c>
      <c r="Q38">
        <f t="shared" si="8"/>
        <v>1.5371561938277094</v>
      </c>
      <c r="R38">
        <f t="shared" si="9"/>
        <v>0.69926500565277006</v>
      </c>
      <c r="S38">
        <f t="shared" si="10"/>
        <v>0</v>
      </c>
      <c r="T38">
        <f t="shared" si="11"/>
        <v>3.2276551048164315</v>
      </c>
    </row>
    <row r="39" spans="1:20" x14ac:dyDescent="0.3">
      <c r="A39" s="8">
        <v>61</v>
      </c>
      <c r="B39" s="8" t="s">
        <v>33</v>
      </c>
      <c r="C39" s="7" t="s">
        <v>27</v>
      </c>
      <c r="D39">
        <v>3.1986280311513653</v>
      </c>
      <c r="E39" s="51">
        <f t="shared" si="1"/>
        <v>10.427586206896551</v>
      </c>
      <c r="G39">
        <v>4.5628994603164328</v>
      </c>
      <c r="H39">
        <v>1.3922850441638803</v>
      </c>
      <c r="I39">
        <v>3.1986280311513653</v>
      </c>
      <c r="J39">
        <v>2.299353919243019</v>
      </c>
      <c r="L39">
        <f t="shared" si="4"/>
        <v>2.1907677093266162</v>
      </c>
      <c r="M39">
        <f t="shared" si="5"/>
        <v>0.63224298824189373</v>
      </c>
      <c r="N39">
        <f t="shared" si="6"/>
        <v>3.1986280311513653</v>
      </c>
      <c r="O39">
        <f t="shared" si="7"/>
        <v>0.41698628196647014</v>
      </c>
      <c r="Q39">
        <f t="shared" si="8"/>
        <v>2.3721317509898165</v>
      </c>
      <c r="R39">
        <f t="shared" si="9"/>
        <v>0.76004205592198659</v>
      </c>
      <c r="S39">
        <f t="shared" si="10"/>
        <v>0</v>
      </c>
      <c r="T39">
        <f t="shared" si="11"/>
        <v>1.8823676372765488</v>
      </c>
    </row>
    <row r="40" spans="1:20" x14ac:dyDescent="0.3">
      <c r="A40" s="8">
        <v>27</v>
      </c>
      <c r="B40" s="8" t="s">
        <v>37</v>
      </c>
      <c r="C40" s="7" t="s">
        <v>35</v>
      </c>
      <c r="D40">
        <v>0.32653366316246718</v>
      </c>
      <c r="E40" s="51">
        <f t="shared" si="1"/>
        <v>1.0645057471264368</v>
      </c>
      <c r="G40">
        <v>0.29447883075636078</v>
      </c>
      <c r="H40">
        <v>0.19736513798093716</v>
      </c>
      <c r="I40">
        <v>0.32653366316246718</v>
      </c>
      <c r="J40">
        <v>0.73913657703392854</v>
      </c>
      <c r="L40">
        <f t="shared" si="4"/>
        <v>0.22364570006190099</v>
      </c>
      <c r="M40">
        <f t="shared" si="5"/>
        <v>6.4542865550108325E-2</v>
      </c>
      <c r="N40">
        <f t="shared" si="6"/>
        <v>0.32653366316246718</v>
      </c>
      <c r="O40">
        <f t="shared" si="7"/>
        <v>4.2568268899337229E-2</v>
      </c>
      <c r="Q40">
        <f t="shared" si="8"/>
        <v>7.0833130694459789E-2</v>
      </c>
      <c r="R40">
        <f t="shared" si="9"/>
        <v>0.13282227243082884</v>
      </c>
      <c r="S40">
        <f t="shared" si="10"/>
        <v>0</v>
      </c>
      <c r="T40">
        <f t="shared" si="11"/>
        <v>0.69656830813459136</v>
      </c>
    </row>
    <row r="41" spans="1:20" x14ac:dyDescent="0.3">
      <c r="A41" s="8">
        <v>29</v>
      </c>
      <c r="B41" s="8" t="s">
        <v>38</v>
      </c>
      <c r="C41" s="7" t="s">
        <v>35</v>
      </c>
      <c r="D41">
        <v>1.0706377793510791</v>
      </c>
      <c r="E41" s="51">
        <f t="shared" si="1"/>
        <v>3.4902988505747126</v>
      </c>
      <c r="G41">
        <v>0.79078657949049325</v>
      </c>
      <c r="H41">
        <v>0.10105294675383002</v>
      </c>
      <c r="I41">
        <v>1.0706377793510791</v>
      </c>
      <c r="J41">
        <v>0.19994381906461037</v>
      </c>
      <c r="L41">
        <f t="shared" si="4"/>
        <v>0.73328897656887448</v>
      </c>
      <c r="M41">
        <f t="shared" si="5"/>
        <v>0.21162299034124835</v>
      </c>
      <c r="N41">
        <f t="shared" si="6"/>
        <v>1.0706377793510791</v>
      </c>
      <c r="O41">
        <f t="shared" si="7"/>
        <v>0.13957273637214557</v>
      </c>
      <c r="Q41">
        <f t="shared" si="8"/>
        <v>5.7497602921618762E-2</v>
      </c>
      <c r="R41">
        <f t="shared" si="9"/>
        <v>-0.11057004358741833</v>
      </c>
      <c r="S41">
        <f t="shared" si="10"/>
        <v>0</v>
      </c>
      <c r="T41">
        <f t="shared" si="11"/>
        <v>6.03710826924648E-2</v>
      </c>
    </row>
    <row r="42" spans="1:20" x14ac:dyDescent="0.3">
      <c r="A42" s="8">
        <v>31</v>
      </c>
      <c r="B42" s="8" t="s">
        <v>39</v>
      </c>
      <c r="C42" s="7" t="s">
        <v>35</v>
      </c>
      <c r="D42">
        <v>0.91547329258420385</v>
      </c>
      <c r="E42" s="51">
        <f t="shared" si="1"/>
        <v>2.9844597701149427</v>
      </c>
      <c r="G42">
        <v>1.053947129870993</v>
      </c>
      <c r="H42">
        <v>0.14047607166026246</v>
      </c>
      <c r="I42">
        <v>0.91547329258420385</v>
      </c>
      <c r="J42">
        <v>1.059702241042435</v>
      </c>
      <c r="L42">
        <f t="shared" si="4"/>
        <v>0.62701549183337435</v>
      </c>
      <c r="M42">
        <f t="shared" si="5"/>
        <v>0.18095307254302387</v>
      </c>
      <c r="N42">
        <f t="shared" si="6"/>
        <v>0.91547329258420385</v>
      </c>
      <c r="O42">
        <f t="shared" si="7"/>
        <v>0.11934485685629415</v>
      </c>
      <c r="Q42">
        <f t="shared" si="8"/>
        <v>0.42693163803761869</v>
      </c>
      <c r="R42">
        <f t="shared" si="9"/>
        <v>-4.0477000882761405E-2</v>
      </c>
      <c r="S42">
        <f t="shared" si="10"/>
        <v>0</v>
      </c>
      <c r="T42">
        <f t="shared" si="11"/>
        <v>0.9403573841861409</v>
      </c>
    </row>
  </sheetData>
  <conditionalFormatting sqref="B8:C10 B12:C20 B35:C42 B30:C30">
    <cfRule type="expression" dxfId="8" priority="6" stopIfTrue="1">
      <formula>"same value"</formula>
    </cfRule>
  </conditionalFormatting>
  <conditionalFormatting sqref="B11">
    <cfRule type="expression" dxfId="7" priority="7" stopIfTrue="1">
      <formula>"same value"</formula>
    </cfRule>
  </conditionalFormatting>
  <conditionalFormatting sqref="B20">
    <cfRule type="expression" dxfId="6" priority="9" stopIfTrue="1">
      <formula>"same value"</formula>
    </cfRule>
  </conditionalFormatting>
  <conditionalFormatting sqref="B10">
    <cfRule type="expression" dxfId="5" priority="8" stopIfTrue="1">
      <formula>"same value"</formula>
    </cfRule>
  </conditionalFormatting>
  <conditionalFormatting sqref="B11:C11">
    <cfRule type="expression" dxfId="4" priority="10" stopIfTrue="1">
      <formula>"same value"</formula>
    </cfRule>
  </conditionalFormatting>
  <conditionalFormatting sqref="B31:C33">
    <cfRule type="expression" dxfId="3" priority="1" stopIfTrue="1">
      <formula>"same value"</formula>
    </cfRule>
  </conditionalFormatting>
  <conditionalFormatting sqref="B42">
    <cfRule type="expression" dxfId="2" priority="4" stopIfTrue="1">
      <formula>"same value"</formula>
    </cfRule>
  </conditionalFormatting>
  <conditionalFormatting sqref="B33">
    <cfRule type="expression" dxfId="1" priority="3" stopIfTrue="1">
      <formula>"same value"</formula>
    </cfRule>
  </conditionalFormatting>
  <conditionalFormatting sqref="B34:C34">
    <cfRule type="expression" dxfId="0" priority="2" stopIfTrue="1">
      <formula>"same value"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1"/>
  <sheetViews>
    <sheetView tabSelected="1" topLeftCell="A13" workbookViewId="0">
      <selection activeCell="I31" sqref="I31:I33"/>
    </sheetView>
  </sheetViews>
  <sheetFormatPr defaultRowHeight="14.4" x14ac:dyDescent="0.3"/>
  <sheetData>
    <row r="1" spans="1:20" x14ac:dyDescent="0.3">
      <c r="A1" t="s">
        <v>184</v>
      </c>
    </row>
    <row r="2" spans="1:20" x14ac:dyDescent="0.3">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row>
    <row r="3" spans="1:20" x14ac:dyDescent="0.3">
      <c r="A3">
        <v>58</v>
      </c>
      <c r="B3" t="s">
        <v>21</v>
      </c>
      <c r="C3" t="s">
        <v>22</v>
      </c>
      <c r="D3">
        <v>441729</v>
      </c>
      <c r="E3">
        <v>7148326.3799999999</v>
      </c>
      <c r="F3">
        <v>30</v>
      </c>
      <c r="G3">
        <v>42863</v>
      </c>
      <c r="H3">
        <v>17680</v>
      </c>
      <c r="I3">
        <v>7.35</v>
      </c>
      <c r="J3">
        <v>24.8</v>
      </c>
      <c r="K3">
        <v>2077</v>
      </c>
      <c r="L3">
        <v>38.799999999999997</v>
      </c>
      <c r="M3">
        <v>843</v>
      </c>
      <c r="N3">
        <v>768</v>
      </c>
      <c r="O3">
        <v>6573.1</v>
      </c>
      <c r="P3">
        <v>427.07</v>
      </c>
      <c r="Q3">
        <v>1436.8</v>
      </c>
      <c r="R3">
        <v>0</v>
      </c>
      <c r="S3">
        <v>2.1999999999999999E-2</v>
      </c>
      <c r="T3">
        <v>0.67500000000000004</v>
      </c>
    </row>
    <row r="4" spans="1:20" x14ac:dyDescent="0.3">
      <c r="A4">
        <v>60</v>
      </c>
      <c r="B4" t="s">
        <v>23</v>
      </c>
      <c r="C4" t="s">
        <v>22</v>
      </c>
      <c r="D4">
        <v>430680.41</v>
      </c>
      <c r="E4">
        <v>7154965.2000000002</v>
      </c>
      <c r="F4">
        <v>68</v>
      </c>
      <c r="G4">
        <v>42863</v>
      </c>
      <c r="H4">
        <v>270</v>
      </c>
      <c r="I4">
        <v>7.44</v>
      </c>
      <c r="J4">
        <v>29.4</v>
      </c>
      <c r="K4">
        <v>32.299999999999997</v>
      </c>
      <c r="L4">
        <v>3.39</v>
      </c>
      <c r="M4">
        <v>12.2</v>
      </c>
      <c r="N4">
        <v>6.03</v>
      </c>
      <c r="O4">
        <v>15.8</v>
      </c>
      <c r="P4">
        <v>106.14</v>
      </c>
      <c r="Q4">
        <v>2.8</v>
      </c>
      <c r="R4">
        <v>0.02</v>
      </c>
      <c r="S4">
        <v>0.624</v>
      </c>
      <c r="T4">
        <v>6.7299999999999999E-2</v>
      </c>
    </row>
    <row r="5" spans="1:20" x14ac:dyDescent="0.3">
      <c r="A5">
        <v>66</v>
      </c>
      <c r="B5" t="s">
        <v>24</v>
      </c>
      <c r="C5" t="s">
        <v>22</v>
      </c>
      <c r="D5">
        <v>469076</v>
      </c>
      <c r="E5">
        <v>7167115</v>
      </c>
      <c r="F5">
        <v>50</v>
      </c>
      <c r="G5">
        <v>42867</v>
      </c>
      <c r="H5">
        <v>537</v>
      </c>
      <c r="I5">
        <v>6.82</v>
      </c>
      <c r="J5">
        <v>24</v>
      </c>
      <c r="K5">
        <v>38.9</v>
      </c>
      <c r="L5">
        <v>3.39</v>
      </c>
      <c r="M5">
        <v>14.5</v>
      </c>
      <c r="N5">
        <v>7.12</v>
      </c>
      <c r="O5">
        <v>87.332499999999996</v>
      </c>
      <c r="P5">
        <v>59.78</v>
      </c>
      <c r="Q5">
        <v>61.677</v>
      </c>
      <c r="R5">
        <v>0.59109999999999996</v>
      </c>
      <c r="S5">
        <v>8.7999999999999995E-2</v>
      </c>
      <c r="T5">
        <v>0.157</v>
      </c>
    </row>
    <row r="6" spans="1:20" x14ac:dyDescent="0.3">
      <c r="A6">
        <v>67</v>
      </c>
      <c r="B6" t="s">
        <v>25</v>
      </c>
      <c r="C6" t="s">
        <v>22</v>
      </c>
      <c r="D6">
        <v>440835.61</v>
      </c>
      <c r="E6">
        <v>7143123.4100000001</v>
      </c>
      <c r="F6">
        <v>11</v>
      </c>
      <c r="G6">
        <v>42867</v>
      </c>
      <c r="H6">
        <v>14700</v>
      </c>
      <c r="I6">
        <v>7.3</v>
      </c>
      <c r="J6">
        <v>25</v>
      </c>
      <c r="K6">
        <v>1861</v>
      </c>
      <c r="L6">
        <v>27.9</v>
      </c>
      <c r="M6">
        <v>587</v>
      </c>
      <c r="N6">
        <v>571</v>
      </c>
      <c r="O6">
        <v>5406.8</v>
      </c>
      <c r="P6">
        <v>386.74</v>
      </c>
      <c r="Q6">
        <v>854.5</v>
      </c>
      <c r="R6">
        <v>0</v>
      </c>
      <c r="S6">
        <v>6.6900000000000001E-2</v>
      </c>
      <c r="T6">
        <v>0.184</v>
      </c>
    </row>
    <row r="7" spans="1:20" x14ac:dyDescent="0.3">
      <c r="A7">
        <v>70</v>
      </c>
      <c r="B7" t="s">
        <v>26</v>
      </c>
      <c r="C7" t="s">
        <v>22</v>
      </c>
      <c r="D7">
        <v>480904.4</v>
      </c>
      <c r="E7">
        <v>7182698</v>
      </c>
      <c r="F7">
        <v>8</v>
      </c>
      <c r="G7">
        <v>42865</v>
      </c>
      <c r="H7">
        <v>808</v>
      </c>
      <c r="I7">
        <v>6.85</v>
      </c>
      <c r="J7">
        <v>25.4</v>
      </c>
      <c r="K7">
        <v>87.9</v>
      </c>
      <c r="L7">
        <v>5.85</v>
      </c>
      <c r="M7">
        <v>28.7</v>
      </c>
      <c r="N7">
        <v>22.3</v>
      </c>
      <c r="O7">
        <v>137.5</v>
      </c>
      <c r="Q7">
        <v>86.6</v>
      </c>
      <c r="R7">
        <v>0.04</v>
      </c>
      <c r="S7">
        <v>0.34499999999999997</v>
      </c>
      <c r="T7">
        <v>0.107</v>
      </c>
    </row>
    <row r="8" spans="1:20" x14ac:dyDescent="0.3">
      <c r="A8">
        <v>10</v>
      </c>
      <c r="B8">
        <v>16</v>
      </c>
      <c r="C8" t="s">
        <v>27</v>
      </c>
      <c r="D8">
        <v>448401.18</v>
      </c>
      <c r="E8">
        <v>7152242.3700000001</v>
      </c>
      <c r="F8">
        <v>49</v>
      </c>
      <c r="G8">
        <v>42838</v>
      </c>
      <c r="H8">
        <v>771</v>
      </c>
      <c r="I8">
        <v>8.02</v>
      </c>
      <c r="J8">
        <v>27.7</v>
      </c>
      <c r="K8">
        <v>112.3</v>
      </c>
      <c r="L8">
        <v>5.51</v>
      </c>
      <c r="M8">
        <v>25.6</v>
      </c>
      <c r="N8">
        <v>11.46</v>
      </c>
      <c r="O8">
        <v>96.388000000000005</v>
      </c>
      <c r="Q8">
        <v>17.66</v>
      </c>
      <c r="R8">
        <v>0.27699999999999997</v>
      </c>
      <c r="S8">
        <v>3.8000000000000002E-4</v>
      </c>
      <c r="T8">
        <v>1.07E-3</v>
      </c>
    </row>
    <row r="9" spans="1:20" x14ac:dyDescent="0.3">
      <c r="A9">
        <v>12</v>
      </c>
      <c r="B9">
        <v>23</v>
      </c>
      <c r="C9" t="s">
        <v>27</v>
      </c>
      <c r="D9">
        <v>459761.58</v>
      </c>
      <c r="E9">
        <v>7158326.2199999997</v>
      </c>
      <c r="F9">
        <v>57</v>
      </c>
      <c r="G9">
        <v>42838</v>
      </c>
      <c r="H9">
        <v>824</v>
      </c>
      <c r="I9">
        <v>7.87</v>
      </c>
      <c r="J9">
        <v>27.8</v>
      </c>
      <c r="K9">
        <v>102.1</v>
      </c>
      <c r="L9">
        <v>9.7799999999999994</v>
      </c>
      <c r="M9">
        <v>43.4</v>
      </c>
      <c r="N9">
        <v>8.0399999999999991</v>
      </c>
      <c r="O9">
        <v>102.45599999999999</v>
      </c>
      <c r="Q9">
        <v>29.637999999999998</v>
      </c>
      <c r="R9">
        <v>0</v>
      </c>
      <c r="S9">
        <v>0</v>
      </c>
      <c r="T9">
        <v>7.0699999999999999E-3</v>
      </c>
    </row>
    <row r="10" spans="1:20" x14ac:dyDescent="0.3">
      <c r="A10">
        <v>26</v>
      </c>
      <c r="B10" t="s">
        <v>28</v>
      </c>
      <c r="C10" t="s">
        <v>27</v>
      </c>
      <c r="D10">
        <v>487547.4</v>
      </c>
      <c r="E10">
        <v>7178932.7999999998</v>
      </c>
      <c r="F10">
        <v>24</v>
      </c>
      <c r="G10">
        <v>42844</v>
      </c>
      <c r="H10">
        <v>442</v>
      </c>
      <c r="I10">
        <v>7.04</v>
      </c>
      <c r="J10">
        <v>25.8</v>
      </c>
      <c r="K10">
        <v>61.5</v>
      </c>
      <c r="L10">
        <v>4.78</v>
      </c>
      <c r="M10">
        <v>12.6</v>
      </c>
      <c r="N10">
        <v>3.88</v>
      </c>
      <c r="O10">
        <v>56.297499999999999</v>
      </c>
      <c r="P10">
        <v>134.19999999999999</v>
      </c>
      <c r="Q10">
        <v>3.1025</v>
      </c>
      <c r="R10">
        <v>0.42799999999999999</v>
      </c>
      <c r="S10">
        <v>0.81899999999999995</v>
      </c>
      <c r="T10">
        <v>0.57799999999999996</v>
      </c>
    </row>
    <row r="11" spans="1:20" x14ac:dyDescent="0.3">
      <c r="A11">
        <v>28</v>
      </c>
      <c r="B11" t="s">
        <v>29</v>
      </c>
      <c r="C11" t="s">
        <v>27</v>
      </c>
      <c r="D11">
        <v>502380</v>
      </c>
      <c r="E11">
        <v>7190587.2000000002</v>
      </c>
      <c r="F11">
        <v>12.1</v>
      </c>
      <c r="G11">
        <v>42844</v>
      </c>
      <c r="H11">
        <v>220</v>
      </c>
      <c r="I11">
        <v>6.37</v>
      </c>
      <c r="J11">
        <v>25.5</v>
      </c>
      <c r="K11">
        <v>25.7</v>
      </c>
      <c r="L11">
        <v>3.35</v>
      </c>
      <c r="M11">
        <v>4.3</v>
      </c>
      <c r="N11">
        <v>3.06</v>
      </c>
      <c r="O11">
        <v>49.367699999999999</v>
      </c>
      <c r="P11">
        <v>18.3</v>
      </c>
      <c r="Q11">
        <v>4.1706000000000003</v>
      </c>
      <c r="R11">
        <v>3.4483000000000001</v>
      </c>
      <c r="S11">
        <v>5.7799999999999997E-2</v>
      </c>
      <c r="T11">
        <v>2.07E-2</v>
      </c>
    </row>
    <row r="12" spans="1:20" x14ac:dyDescent="0.3">
      <c r="A12">
        <v>30</v>
      </c>
      <c r="B12" t="s">
        <v>30</v>
      </c>
      <c r="C12" t="s">
        <v>27</v>
      </c>
      <c r="D12">
        <v>496744.9</v>
      </c>
      <c r="E12">
        <v>7203333.7000000002</v>
      </c>
      <c r="F12">
        <v>11</v>
      </c>
      <c r="G12">
        <v>42844</v>
      </c>
      <c r="H12">
        <v>53.7</v>
      </c>
      <c r="I12">
        <v>4.78</v>
      </c>
      <c r="J12">
        <v>25.3</v>
      </c>
      <c r="K12">
        <v>4.83</v>
      </c>
      <c r="L12">
        <v>0.74</v>
      </c>
      <c r="M12">
        <v>2.4300000000000002</v>
      </c>
      <c r="N12">
        <v>0.49</v>
      </c>
      <c r="O12">
        <v>10.875</v>
      </c>
      <c r="P12">
        <v>2.44</v>
      </c>
      <c r="Q12">
        <v>3.9395000000000002</v>
      </c>
      <c r="R12">
        <v>0</v>
      </c>
      <c r="S12">
        <v>7.0199999999999999E-2</v>
      </c>
      <c r="T12">
        <v>1.2200000000000001E-2</v>
      </c>
    </row>
    <row r="13" spans="1:20" x14ac:dyDescent="0.3">
      <c r="A13">
        <v>45</v>
      </c>
      <c r="B13" t="s">
        <v>31</v>
      </c>
      <c r="C13" t="s">
        <v>27</v>
      </c>
      <c r="D13">
        <v>468933.5</v>
      </c>
      <c r="E13">
        <v>7141017</v>
      </c>
      <c r="F13">
        <v>9</v>
      </c>
      <c r="G13">
        <v>42845</v>
      </c>
      <c r="H13">
        <v>2710</v>
      </c>
      <c r="I13">
        <v>8.1999999999999993</v>
      </c>
      <c r="J13">
        <v>27.4</v>
      </c>
      <c r="K13">
        <v>260</v>
      </c>
      <c r="L13">
        <v>25.55</v>
      </c>
      <c r="M13">
        <v>106.7</v>
      </c>
      <c r="N13">
        <v>56.98</v>
      </c>
      <c r="O13">
        <v>732.48099999999999</v>
      </c>
      <c r="P13">
        <v>195.2</v>
      </c>
      <c r="Q13">
        <v>50.021000000000001</v>
      </c>
      <c r="R13">
        <v>0</v>
      </c>
      <c r="S13">
        <v>1.67E-2</v>
      </c>
      <c r="T13">
        <v>6.7200000000000003E-3</v>
      </c>
    </row>
    <row r="14" spans="1:20" x14ac:dyDescent="0.3">
      <c r="A14">
        <v>47</v>
      </c>
      <c r="B14" t="s">
        <v>32</v>
      </c>
      <c r="C14" t="s">
        <v>27</v>
      </c>
      <c r="D14">
        <v>463548.6</v>
      </c>
      <c r="E14">
        <v>7132522.0999999996</v>
      </c>
      <c r="F14">
        <v>10</v>
      </c>
      <c r="G14">
        <v>42845</v>
      </c>
      <c r="H14">
        <v>679</v>
      </c>
      <c r="I14">
        <v>7.6</v>
      </c>
      <c r="J14">
        <v>28.1</v>
      </c>
      <c r="K14">
        <v>65.7</v>
      </c>
      <c r="L14">
        <v>11</v>
      </c>
      <c r="M14">
        <v>43.3</v>
      </c>
      <c r="N14">
        <v>17.600000000000001</v>
      </c>
      <c r="O14">
        <v>68.359700000000004</v>
      </c>
      <c r="P14">
        <v>212.28</v>
      </c>
      <c r="Q14">
        <v>44.656999999999996</v>
      </c>
      <c r="R14">
        <v>2.8401999999999998</v>
      </c>
      <c r="S14">
        <v>2.8299999999999999E-2</v>
      </c>
      <c r="T14">
        <v>1.9800000000000002E-2</v>
      </c>
    </row>
    <row r="15" spans="1:20" x14ac:dyDescent="0.3">
      <c r="A15">
        <v>61</v>
      </c>
      <c r="B15" t="s">
        <v>33</v>
      </c>
      <c r="C15" t="s">
        <v>27</v>
      </c>
      <c r="D15">
        <v>440822.18</v>
      </c>
      <c r="E15">
        <v>7135726.6399999997</v>
      </c>
      <c r="F15">
        <v>8</v>
      </c>
      <c r="G15">
        <v>42863</v>
      </c>
      <c r="H15">
        <v>1005</v>
      </c>
      <c r="I15">
        <v>6.3</v>
      </c>
      <c r="J15">
        <v>24.3</v>
      </c>
      <c r="K15">
        <v>104.9</v>
      </c>
      <c r="L15">
        <v>10.9</v>
      </c>
      <c r="M15">
        <v>55.8</v>
      </c>
      <c r="N15">
        <v>16.2</v>
      </c>
      <c r="O15">
        <v>113.4</v>
      </c>
      <c r="P15">
        <v>140.29999999999998</v>
      </c>
      <c r="Q15">
        <v>120.9</v>
      </c>
      <c r="R15">
        <v>19.5</v>
      </c>
      <c r="S15">
        <v>3.2399999999999998E-2</v>
      </c>
      <c r="T15">
        <v>0.29699999999999999</v>
      </c>
    </row>
    <row r="16" spans="1:20" x14ac:dyDescent="0.3">
      <c r="A16">
        <v>14</v>
      </c>
      <c r="B16" t="s">
        <v>34</v>
      </c>
      <c r="C16" t="s">
        <v>35</v>
      </c>
      <c r="D16">
        <v>440417</v>
      </c>
      <c r="E16">
        <v>7146262.4000000004</v>
      </c>
      <c r="F16">
        <v>37</v>
      </c>
      <c r="G16">
        <v>42842</v>
      </c>
      <c r="H16">
        <v>9200</v>
      </c>
      <c r="I16">
        <v>7.43</v>
      </c>
      <c r="J16">
        <v>25.5</v>
      </c>
      <c r="K16">
        <v>1064</v>
      </c>
      <c r="L16">
        <v>17.829999999999998</v>
      </c>
      <c r="M16">
        <v>271</v>
      </c>
      <c r="N16">
        <v>366</v>
      </c>
      <c r="O16">
        <v>2094.48</v>
      </c>
      <c r="P16">
        <v>414.8</v>
      </c>
      <c r="Q16">
        <v>242.26999999999998</v>
      </c>
      <c r="R16">
        <v>24.9</v>
      </c>
      <c r="S16">
        <v>1.4800000000000001E-2</v>
      </c>
      <c r="T16">
        <v>2.8400000000000002E-2</v>
      </c>
    </row>
    <row r="17" spans="1:20" x14ac:dyDescent="0.3">
      <c r="A17">
        <v>23</v>
      </c>
      <c r="B17" t="s">
        <v>36</v>
      </c>
      <c r="C17" t="s">
        <v>35</v>
      </c>
      <c r="D17">
        <v>476875</v>
      </c>
      <c r="E17">
        <v>7221686.5999999996</v>
      </c>
      <c r="F17">
        <v>22</v>
      </c>
      <c r="G17">
        <v>42843</v>
      </c>
      <c r="H17">
        <v>3020</v>
      </c>
      <c r="I17">
        <v>7.58</v>
      </c>
      <c r="J17">
        <v>27</v>
      </c>
      <c r="K17">
        <v>278.60000000000002</v>
      </c>
      <c r="L17">
        <v>12.19</v>
      </c>
      <c r="M17">
        <v>135</v>
      </c>
      <c r="N17">
        <v>70.25</v>
      </c>
      <c r="O17">
        <v>770.947</v>
      </c>
      <c r="P17">
        <v>207.4</v>
      </c>
      <c r="Q17">
        <v>141.11500000000001</v>
      </c>
      <c r="R17">
        <v>0</v>
      </c>
      <c r="S17">
        <v>2.9399999999999999E-2</v>
      </c>
      <c r="T17">
        <v>5.45E-2</v>
      </c>
    </row>
    <row r="18" spans="1:20" x14ac:dyDescent="0.3">
      <c r="A18">
        <v>27</v>
      </c>
      <c r="B18" t="s">
        <v>37</v>
      </c>
      <c r="C18" t="s">
        <v>35</v>
      </c>
      <c r="D18">
        <v>487547.4</v>
      </c>
      <c r="E18">
        <v>7178932.7999999998</v>
      </c>
      <c r="F18">
        <v>24</v>
      </c>
      <c r="G18">
        <v>42844</v>
      </c>
      <c r="H18">
        <v>118.3</v>
      </c>
      <c r="I18">
        <v>5.84</v>
      </c>
      <c r="J18">
        <v>25.3</v>
      </c>
      <c r="K18">
        <v>6.77</v>
      </c>
      <c r="L18">
        <v>2.77</v>
      </c>
      <c r="M18">
        <v>7.91</v>
      </c>
      <c r="N18">
        <v>1.99</v>
      </c>
      <c r="O18">
        <v>11.576500000000001</v>
      </c>
      <c r="P18">
        <v>45.1</v>
      </c>
      <c r="Q18">
        <v>8.6999999999999994E-2</v>
      </c>
      <c r="R18">
        <v>0</v>
      </c>
      <c r="S18">
        <v>3</v>
      </c>
      <c r="T18">
        <v>0.66700000000000004</v>
      </c>
    </row>
    <row r="19" spans="1:20" x14ac:dyDescent="0.3">
      <c r="A19">
        <v>29</v>
      </c>
      <c r="B19" t="s">
        <v>38</v>
      </c>
      <c r="C19" t="s">
        <v>35</v>
      </c>
      <c r="D19">
        <v>502380</v>
      </c>
      <c r="E19">
        <v>7190587.2000000002</v>
      </c>
      <c r="F19">
        <v>12.1</v>
      </c>
      <c r="G19">
        <v>42844</v>
      </c>
      <c r="H19">
        <v>162.5</v>
      </c>
      <c r="I19">
        <v>6.02</v>
      </c>
      <c r="J19">
        <v>25.4</v>
      </c>
      <c r="K19">
        <v>18.18</v>
      </c>
      <c r="L19">
        <v>3.85</v>
      </c>
      <c r="M19">
        <v>4.05</v>
      </c>
      <c r="N19">
        <v>2.38</v>
      </c>
      <c r="O19">
        <v>37.957000000000001</v>
      </c>
      <c r="P19">
        <v>12.2</v>
      </c>
      <c r="Q19">
        <v>5.0437000000000003</v>
      </c>
      <c r="R19">
        <v>0.4677</v>
      </c>
      <c r="S19">
        <v>2.8799999999999999E-2</v>
      </c>
      <c r="T19">
        <v>8.6999999999999994E-3</v>
      </c>
    </row>
    <row r="20" spans="1:20" x14ac:dyDescent="0.3">
      <c r="A20">
        <v>31</v>
      </c>
      <c r="B20" t="s">
        <v>39</v>
      </c>
      <c r="C20" t="s">
        <v>35</v>
      </c>
      <c r="D20">
        <v>496744.9</v>
      </c>
      <c r="E20">
        <v>7203333.7000000002</v>
      </c>
      <c r="F20">
        <v>11</v>
      </c>
      <c r="G20">
        <v>42844</v>
      </c>
      <c r="H20">
        <v>200</v>
      </c>
      <c r="I20">
        <v>6.2</v>
      </c>
      <c r="J20">
        <v>24.3</v>
      </c>
      <c r="K20">
        <v>24.23</v>
      </c>
      <c r="L20">
        <v>2.87</v>
      </c>
      <c r="M20">
        <v>5.63</v>
      </c>
      <c r="N20">
        <v>2.77</v>
      </c>
      <c r="O20">
        <v>32.456000000000003</v>
      </c>
      <c r="P20">
        <v>64.66</v>
      </c>
      <c r="Q20">
        <v>0.25650000000000001</v>
      </c>
      <c r="R20">
        <v>9.0500000000000011E-2</v>
      </c>
      <c r="S20">
        <v>1.3</v>
      </c>
      <c r="T20">
        <v>7.8899999999999998E-2</v>
      </c>
    </row>
    <row r="21" spans="1:20" x14ac:dyDescent="0.3">
      <c r="A21">
        <v>46</v>
      </c>
      <c r="B21" t="s">
        <v>40</v>
      </c>
      <c r="C21" t="s">
        <v>35</v>
      </c>
      <c r="D21">
        <v>468933.5</v>
      </c>
      <c r="E21">
        <v>7141017</v>
      </c>
      <c r="F21">
        <v>9</v>
      </c>
      <c r="G21">
        <v>42845</v>
      </c>
      <c r="H21">
        <v>1230</v>
      </c>
      <c r="I21">
        <v>8.15</v>
      </c>
      <c r="J21">
        <v>26.7</v>
      </c>
      <c r="K21">
        <v>144.1</v>
      </c>
      <c r="L21">
        <v>14.7</v>
      </c>
      <c r="M21">
        <v>55.3</v>
      </c>
      <c r="N21">
        <v>22.2</v>
      </c>
      <c r="O21">
        <v>260.471</v>
      </c>
      <c r="P21">
        <v>190.32</v>
      </c>
      <c r="Q21">
        <v>9.347999999999999</v>
      </c>
      <c r="R21">
        <v>0</v>
      </c>
      <c r="S21">
        <v>4.3499999999999997E-2</v>
      </c>
      <c r="T21">
        <v>1.9099999999999999E-2</v>
      </c>
    </row>
    <row r="22" spans="1:20" x14ac:dyDescent="0.3">
      <c r="A22">
        <v>48</v>
      </c>
      <c r="B22" t="s">
        <v>41</v>
      </c>
      <c r="C22" t="s">
        <v>35</v>
      </c>
      <c r="D22">
        <v>463548.6</v>
      </c>
      <c r="E22">
        <v>7132522.0999999996</v>
      </c>
      <c r="F22">
        <v>10</v>
      </c>
      <c r="G22">
        <v>42845</v>
      </c>
      <c r="H22">
        <v>1182</v>
      </c>
      <c r="I22">
        <v>8.0299999999999994</v>
      </c>
      <c r="J22">
        <v>27.8</v>
      </c>
      <c r="K22">
        <v>136.6</v>
      </c>
      <c r="L22">
        <v>15.7</v>
      </c>
      <c r="M22">
        <v>53.1</v>
      </c>
      <c r="N22">
        <v>28.9</v>
      </c>
      <c r="O22">
        <v>156.447</v>
      </c>
      <c r="P22">
        <v>287.92</v>
      </c>
      <c r="Q22">
        <v>77.263000000000005</v>
      </c>
      <c r="R22">
        <v>2.4449999999999998</v>
      </c>
      <c r="S22">
        <v>9.3500000000000007E-3</v>
      </c>
      <c r="T22">
        <v>2.8E-3</v>
      </c>
    </row>
    <row r="23" spans="1:20" x14ac:dyDescent="0.3">
      <c r="A23">
        <v>68</v>
      </c>
      <c r="B23" t="s">
        <v>42</v>
      </c>
      <c r="C23" t="s">
        <v>35</v>
      </c>
      <c r="D23">
        <v>434755.7</v>
      </c>
      <c r="E23">
        <v>7168883.2000000002</v>
      </c>
      <c r="F23">
        <v>106</v>
      </c>
      <c r="G23">
        <v>42867</v>
      </c>
      <c r="H23">
        <v>3900</v>
      </c>
      <c r="I23">
        <v>6.95</v>
      </c>
      <c r="J23">
        <v>24</v>
      </c>
      <c r="K23">
        <v>286</v>
      </c>
      <c r="L23">
        <v>12.98</v>
      </c>
      <c r="M23">
        <v>234</v>
      </c>
      <c r="N23">
        <v>116</v>
      </c>
      <c r="O23">
        <v>946.56000000000006</v>
      </c>
      <c r="P23">
        <v>237.9</v>
      </c>
      <c r="Q23">
        <v>46.940999999999995</v>
      </c>
      <c r="R23">
        <v>0</v>
      </c>
      <c r="S23">
        <v>0.44700000000000001</v>
      </c>
      <c r="T23">
        <v>1.71</v>
      </c>
    </row>
    <row r="24" spans="1:20" x14ac:dyDescent="0.3">
      <c r="A24" s="54" t="s">
        <v>193</v>
      </c>
    </row>
    <row r="25" spans="1:20" x14ac:dyDescent="0.3">
      <c r="A25" t="s">
        <v>0</v>
      </c>
      <c r="B25" t="s">
        <v>8</v>
      </c>
      <c r="C25" t="s">
        <v>185</v>
      </c>
      <c r="D25" t="s">
        <v>10</v>
      </c>
      <c r="E25" t="s">
        <v>11</v>
      </c>
      <c r="F25" t="s">
        <v>12</v>
      </c>
      <c r="G25" t="s">
        <v>13</v>
      </c>
      <c r="H25" t="s">
        <v>14</v>
      </c>
      <c r="I25" t="s">
        <v>186</v>
      </c>
      <c r="J25" t="s">
        <v>187</v>
      </c>
      <c r="K25" t="s">
        <v>188</v>
      </c>
      <c r="L25" t="s">
        <v>189</v>
      </c>
      <c r="M25" t="s">
        <v>57</v>
      </c>
    </row>
    <row r="26" spans="1:20" x14ac:dyDescent="0.3">
      <c r="I26" t="s">
        <v>190</v>
      </c>
      <c r="J26" t="s">
        <v>191</v>
      </c>
      <c r="K26" t="s">
        <v>192</v>
      </c>
    </row>
    <row r="27" spans="1:20" x14ac:dyDescent="0.3">
      <c r="A27">
        <v>58</v>
      </c>
      <c r="B27">
        <v>7.35</v>
      </c>
      <c r="C27">
        <v>24.8</v>
      </c>
      <c r="D27">
        <v>2077</v>
      </c>
      <c r="E27">
        <v>38.799999999999997</v>
      </c>
      <c r="F27">
        <v>843</v>
      </c>
      <c r="G27">
        <v>768</v>
      </c>
      <c r="H27">
        <v>6573.1</v>
      </c>
      <c r="I27">
        <v>427.07</v>
      </c>
      <c r="J27">
        <v>1436.8</v>
      </c>
      <c r="K27">
        <v>0</v>
      </c>
      <c r="L27">
        <v>2.1999999999999999E-2</v>
      </c>
      <c r="M27">
        <v>0.67500000000000004</v>
      </c>
    </row>
    <row r="28" spans="1:20" x14ac:dyDescent="0.3">
      <c r="A28">
        <v>60</v>
      </c>
      <c r="B28">
        <v>7.44</v>
      </c>
      <c r="C28">
        <v>29.4</v>
      </c>
      <c r="D28">
        <v>32.299999999999997</v>
      </c>
      <c r="E28">
        <v>3.39</v>
      </c>
      <c r="F28">
        <v>12.2</v>
      </c>
      <c r="G28">
        <v>6.03</v>
      </c>
      <c r="H28">
        <v>15.8</v>
      </c>
      <c r="I28">
        <v>106.14</v>
      </c>
      <c r="J28">
        <v>2.8</v>
      </c>
      <c r="K28">
        <v>0.02</v>
      </c>
      <c r="L28">
        <v>0.624</v>
      </c>
      <c r="M28">
        <v>6.7299999999999999E-2</v>
      </c>
    </row>
    <row r="29" spans="1:20" x14ac:dyDescent="0.3">
      <c r="A29">
        <v>66</v>
      </c>
      <c r="B29">
        <v>6.82</v>
      </c>
      <c r="C29">
        <v>24</v>
      </c>
      <c r="D29">
        <v>38.9</v>
      </c>
      <c r="E29">
        <v>3.39</v>
      </c>
      <c r="F29">
        <v>14.5</v>
      </c>
      <c r="G29">
        <v>7.12</v>
      </c>
      <c r="H29">
        <v>87.332499999999996</v>
      </c>
      <c r="I29">
        <v>59.78</v>
      </c>
      <c r="J29">
        <v>61.677</v>
      </c>
      <c r="K29">
        <v>0.59109999999999996</v>
      </c>
      <c r="L29">
        <v>8.7999999999999995E-2</v>
      </c>
      <c r="M29">
        <v>0.157</v>
      </c>
    </row>
    <row r="30" spans="1:20" x14ac:dyDescent="0.3">
      <c r="A30">
        <v>67</v>
      </c>
      <c r="B30">
        <v>7.3</v>
      </c>
      <c r="C30">
        <v>25</v>
      </c>
      <c r="D30">
        <v>1861</v>
      </c>
      <c r="E30">
        <v>27.9</v>
      </c>
      <c r="F30">
        <v>587</v>
      </c>
      <c r="G30">
        <v>571</v>
      </c>
      <c r="H30">
        <v>5406.8</v>
      </c>
      <c r="I30">
        <v>386.74</v>
      </c>
      <c r="J30">
        <v>854.5</v>
      </c>
      <c r="K30">
        <v>0</v>
      </c>
      <c r="L30">
        <v>6.6900000000000001E-2</v>
      </c>
      <c r="M30">
        <v>0.184</v>
      </c>
    </row>
    <row r="31" spans="1:20" x14ac:dyDescent="0.3">
      <c r="A31">
        <v>70</v>
      </c>
      <c r="B31">
        <v>6.85</v>
      </c>
      <c r="C31">
        <v>25.4</v>
      </c>
      <c r="D31">
        <v>87.9</v>
      </c>
      <c r="E31">
        <v>5.85</v>
      </c>
      <c r="F31">
        <v>28.7</v>
      </c>
      <c r="G31">
        <v>22.3</v>
      </c>
      <c r="H31">
        <v>137.5</v>
      </c>
      <c r="I31">
        <v>96.73599986367671</v>
      </c>
      <c r="J31">
        <v>86.6</v>
      </c>
      <c r="K31">
        <v>0.04</v>
      </c>
      <c r="L31">
        <v>0.34499999999999997</v>
      </c>
      <c r="M31">
        <v>0.107</v>
      </c>
    </row>
    <row r="32" spans="1:20" x14ac:dyDescent="0.3">
      <c r="A32">
        <v>10</v>
      </c>
      <c r="B32">
        <v>8.02</v>
      </c>
      <c r="C32">
        <v>27.7</v>
      </c>
      <c r="D32">
        <v>112.3</v>
      </c>
      <c r="E32">
        <v>5.51</v>
      </c>
      <c r="F32">
        <v>25.6</v>
      </c>
      <c r="G32">
        <v>11.46</v>
      </c>
      <c r="H32">
        <v>96.388000000000005</v>
      </c>
      <c r="I32">
        <v>253.55363355068863</v>
      </c>
      <c r="J32">
        <v>17.66</v>
      </c>
      <c r="K32">
        <v>0.27699999999999997</v>
      </c>
      <c r="L32">
        <v>3.8000000000000002E-4</v>
      </c>
      <c r="M32">
        <v>1.07E-3</v>
      </c>
    </row>
    <row r="33" spans="1:13" x14ac:dyDescent="0.3">
      <c r="A33">
        <v>12</v>
      </c>
      <c r="B33">
        <v>7.87</v>
      </c>
      <c r="C33">
        <v>27.8</v>
      </c>
      <c r="D33">
        <v>102.1</v>
      </c>
      <c r="E33">
        <v>9.7799999999999994</v>
      </c>
      <c r="F33">
        <v>43.4</v>
      </c>
      <c r="G33">
        <v>8.0399999999999991</v>
      </c>
      <c r="H33">
        <v>102.45599999999999</v>
      </c>
      <c r="I33">
        <v>244.82526810939063</v>
      </c>
      <c r="J33">
        <v>29.637999999999998</v>
      </c>
      <c r="K33">
        <v>0</v>
      </c>
      <c r="L33">
        <v>0</v>
      </c>
      <c r="M33">
        <v>7.0699999999999999E-3</v>
      </c>
    </row>
    <row r="34" spans="1:13" x14ac:dyDescent="0.3">
      <c r="A34">
        <v>26</v>
      </c>
      <c r="B34">
        <v>7.04</v>
      </c>
      <c r="C34">
        <v>25.8</v>
      </c>
      <c r="D34">
        <v>61.5</v>
      </c>
      <c r="E34">
        <v>4.78</v>
      </c>
      <c r="F34">
        <v>12.6</v>
      </c>
      <c r="G34">
        <v>3.88</v>
      </c>
      <c r="H34">
        <v>56.297499999999999</v>
      </c>
      <c r="I34">
        <v>134.19999999999999</v>
      </c>
      <c r="J34">
        <v>3.1025</v>
      </c>
      <c r="K34">
        <v>0.42799999999999999</v>
      </c>
      <c r="L34">
        <v>0.81899999999999995</v>
      </c>
      <c r="M34">
        <v>0.57799999999999996</v>
      </c>
    </row>
    <row r="35" spans="1:13" x14ac:dyDescent="0.3">
      <c r="A35">
        <v>28</v>
      </c>
      <c r="B35">
        <v>6.37</v>
      </c>
      <c r="C35">
        <v>25.5</v>
      </c>
      <c r="D35">
        <v>25.7</v>
      </c>
      <c r="E35">
        <v>3.35</v>
      </c>
      <c r="F35">
        <v>4.3</v>
      </c>
      <c r="G35">
        <v>3.06</v>
      </c>
      <c r="H35">
        <v>49.367699999999999</v>
      </c>
      <c r="I35">
        <v>18.3</v>
      </c>
      <c r="J35">
        <v>4.1706000000000003</v>
      </c>
      <c r="K35">
        <v>3.4483000000000001</v>
      </c>
      <c r="L35">
        <v>5.7799999999999997E-2</v>
      </c>
      <c r="M35">
        <v>2.07E-2</v>
      </c>
    </row>
    <row r="36" spans="1:13" x14ac:dyDescent="0.3">
      <c r="A36">
        <v>30</v>
      </c>
      <c r="B36">
        <v>4.78</v>
      </c>
      <c r="C36">
        <v>25.3</v>
      </c>
      <c r="D36">
        <v>4.83</v>
      </c>
      <c r="E36">
        <v>0.74</v>
      </c>
      <c r="F36">
        <v>2.4300000000000002</v>
      </c>
      <c r="G36">
        <v>0.49</v>
      </c>
      <c r="H36">
        <v>10.875</v>
      </c>
      <c r="I36">
        <v>2.44</v>
      </c>
      <c r="J36">
        <v>3.9395000000000002</v>
      </c>
      <c r="K36">
        <v>0</v>
      </c>
      <c r="L36">
        <v>7.0199999999999999E-2</v>
      </c>
      <c r="M36">
        <v>1.2200000000000001E-2</v>
      </c>
    </row>
    <row r="37" spans="1:13" x14ac:dyDescent="0.3">
      <c r="A37">
        <v>45</v>
      </c>
      <c r="B37">
        <v>8.1999999999999993</v>
      </c>
      <c r="C37">
        <v>27.4</v>
      </c>
      <c r="D37">
        <v>260</v>
      </c>
      <c r="E37">
        <v>25.55</v>
      </c>
      <c r="F37">
        <v>106.7</v>
      </c>
      <c r="G37">
        <v>56.98</v>
      </c>
      <c r="H37">
        <v>732.48099999999999</v>
      </c>
      <c r="I37">
        <v>195.2</v>
      </c>
      <c r="J37">
        <v>50.021000000000001</v>
      </c>
      <c r="K37">
        <v>0</v>
      </c>
      <c r="L37">
        <v>1.67E-2</v>
      </c>
      <c r="M37">
        <v>6.7200000000000003E-3</v>
      </c>
    </row>
    <row r="38" spans="1:13" x14ac:dyDescent="0.3">
      <c r="A38">
        <v>47</v>
      </c>
      <c r="B38">
        <v>7.6</v>
      </c>
      <c r="C38">
        <v>28.1</v>
      </c>
      <c r="D38">
        <v>65.7</v>
      </c>
      <c r="E38">
        <v>11</v>
      </c>
      <c r="F38">
        <v>43.3</v>
      </c>
      <c r="G38">
        <v>17.600000000000001</v>
      </c>
      <c r="H38">
        <v>68.359700000000004</v>
      </c>
      <c r="I38">
        <v>212.28</v>
      </c>
      <c r="J38">
        <v>44.656999999999996</v>
      </c>
      <c r="K38">
        <v>2.8401999999999998</v>
      </c>
      <c r="L38">
        <v>2.8299999999999999E-2</v>
      </c>
      <c r="M38">
        <v>1.9800000000000002E-2</v>
      </c>
    </row>
    <row r="39" spans="1:13" x14ac:dyDescent="0.3">
      <c r="A39">
        <v>61</v>
      </c>
      <c r="B39">
        <v>6.3</v>
      </c>
      <c r="C39">
        <v>24.3</v>
      </c>
      <c r="D39">
        <v>104.9</v>
      </c>
      <c r="E39">
        <v>10.9</v>
      </c>
      <c r="F39">
        <v>55.8</v>
      </c>
      <c r="G39">
        <v>16.2</v>
      </c>
      <c r="H39">
        <v>113.4</v>
      </c>
      <c r="I39">
        <v>140.29999999999998</v>
      </c>
      <c r="J39">
        <v>120.9</v>
      </c>
      <c r="K39">
        <v>19.5</v>
      </c>
      <c r="L39">
        <v>3.2399999999999998E-2</v>
      </c>
      <c r="M39">
        <v>0.29699999999999999</v>
      </c>
    </row>
    <row r="40" spans="1:13" x14ac:dyDescent="0.3">
      <c r="A40">
        <v>14</v>
      </c>
      <c r="B40">
        <v>7.43</v>
      </c>
      <c r="C40">
        <v>25.5</v>
      </c>
      <c r="D40">
        <v>1064</v>
      </c>
      <c r="E40">
        <v>17.829999999999998</v>
      </c>
      <c r="F40">
        <v>271</v>
      </c>
      <c r="G40">
        <v>366</v>
      </c>
      <c r="H40">
        <v>2094.48</v>
      </c>
      <c r="I40">
        <v>414.8</v>
      </c>
      <c r="J40">
        <v>242.26999999999998</v>
      </c>
      <c r="K40">
        <v>24.9</v>
      </c>
      <c r="L40">
        <v>1.4800000000000001E-2</v>
      </c>
      <c r="M40">
        <v>2.8400000000000002E-2</v>
      </c>
    </row>
    <row r="41" spans="1:13" x14ac:dyDescent="0.3">
      <c r="A41">
        <v>23</v>
      </c>
      <c r="B41">
        <v>7.58</v>
      </c>
      <c r="C41">
        <v>27</v>
      </c>
      <c r="D41">
        <v>278.60000000000002</v>
      </c>
      <c r="E41">
        <v>12.19</v>
      </c>
      <c r="F41">
        <v>135</v>
      </c>
      <c r="G41">
        <v>70.25</v>
      </c>
      <c r="H41">
        <v>770.947</v>
      </c>
      <c r="I41">
        <v>207.4</v>
      </c>
      <c r="J41">
        <v>141.11500000000001</v>
      </c>
      <c r="K41">
        <v>0</v>
      </c>
      <c r="L41">
        <v>2.9399999999999999E-2</v>
      </c>
      <c r="M41">
        <v>5.45E-2</v>
      </c>
    </row>
    <row r="42" spans="1:13" x14ac:dyDescent="0.3">
      <c r="A42">
        <v>27</v>
      </c>
      <c r="B42">
        <v>5.84</v>
      </c>
      <c r="C42">
        <v>25.3</v>
      </c>
      <c r="D42">
        <v>6.77</v>
      </c>
      <c r="E42">
        <v>2.77</v>
      </c>
      <c r="F42">
        <v>7.91</v>
      </c>
      <c r="G42">
        <v>1.99</v>
      </c>
      <c r="H42">
        <v>11.576500000000001</v>
      </c>
      <c r="I42">
        <v>45.1</v>
      </c>
      <c r="J42">
        <v>8.6999999999999994E-2</v>
      </c>
      <c r="K42">
        <v>0</v>
      </c>
      <c r="L42">
        <v>3</v>
      </c>
      <c r="M42">
        <v>0.66700000000000004</v>
      </c>
    </row>
    <row r="43" spans="1:13" x14ac:dyDescent="0.3">
      <c r="A43">
        <v>29</v>
      </c>
      <c r="B43">
        <v>6.02</v>
      </c>
      <c r="C43">
        <v>25.4</v>
      </c>
      <c r="D43">
        <v>18.18</v>
      </c>
      <c r="E43">
        <v>3.85</v>
      </c>
      <c r="F43">
        <v>4.05</v>
      </c>
      <c r="G43">
        <v>2.38</v>
      </c>
      <c r="H43">
        <v>37.957000000000001</v>
      </c>
      <c r="I43">
        <v>12.2</v>
      </c>
      <c r="J43">
        <v>5.0437000000000003</v>
      </c>
      <c r="K43">
        <v>0.4677</v>
      </c>
      <c r="L43">
        <v>2.8799999999999999E-2</v>
      </c>
      <c r="M43">
        <v>8.6999999999999994E-3</v>
      </c>
    </row>
    <row r="44" spans="1:13" x14ac:dyDescent="0.3">
      <c r="A44">
        <v>31</v>
      </c>
      <c r="B44">
        <v>6.2</v>
      </c>
      <c r="C44">
        <v>24.3</v>
      </c>
      <c r="D44">
        <v>24.23</v>
      </c>
      <c r="E44">
        <v>2.87</v>
      </c>
      <c r="F44">
        <v>5.63</v>
      </c>
      <c r="G44">
        <v>2.77</v>
      </c>
      <c r="H44">
        <v>32.456000000000003</v>
      </c>
      <c r="I44">
        <v>64.66</v>
      </c>
      <c r="J44">
        <v>0.25650000000000001</v>
      </c>
      <c r="K44">
        <v>9.0500000000000011E-2</v>
      </c>
      <c r="L44">
        <v>1.3</v>
      </c>
      <c r="M44">
        <v>7.8899999999999998E-2</v>
      </c>
    </row>
    <row r="45" spans="1:13" x14ac:dyDescent="0.3">
      <c r="A45">
        <v>46</v>
      </c>
      <c r="B45">
        <v>8.15</v>
      </c>
      <c r="C45">
        <v>26.7</v>
      </c>
      <c r="D45">
        <v>144.1</v>
      </c>
      <c r="E45">
        <v>14.7</v>
      </c>
      <c r="F45">
        <v>55.3</v>
      </c>
      <c r="G45">
        <v>22.2</v>
      </c>
      <c r="H45">
        <v>260.471</v>
      </c>
      <c r="I45">
        <v>190.32</v>
      </c>
      <c r="J45">
        <v>9.347999999999999</v>
      </c>
      <c r="K45">
        <v>0</v>
      </c>
      <c r="L45">
        <v>4.3499999999999997E-2</v>
      </c>
      <c r="M45">
        <v>1.9099999999999999E-2</v>
      </c>
    </row>
    <row r="46" spans="1:13" x14ac:dyDescent="0.3">
      <c r="A46">
        <v>48</v>
      </c>
      <c r="B46">
        <v>8.0299999999999994</v>
      </c>
      <c r="C46">
        <v>27.8</v>
      </c>
      <c r="D46">
        <v>136.6</v>
      </c>
      <c r="E46">
        <v>15.7</v>
      </c>
      <c r="F46">
        <v>53.1</v>
      </c>
      <c r="G46">
        <v>28.9</v>
      </c>
      <c r="H46">
        <v>156.447</v>
      </c>
      <c r="I46">
        <v>287.92</v>
      </c>
      <c r="J46">
        <v>77.263000000000005</v>
      </c>
      <c r="K46">
        <v>2.4449999999999998</v>
      </c>
      <c r="L46">
        <v>9.3500000000000007E-3</v>
      </c>
      <c r="M46">
        <v>2.8E-3</v>
      </c>
    </row>
    <row r="47" spans="1:13" x14ac:dyDescent="0.3">
      <c r="A47">
        <v>68</v>
      </c>
      <c r="B47">
        <v>6.95</v>
      </c>
      <c r="C47">
        <v>24</v>
      </c>
      <c r="D47">
        <v>286</v>
      </c>
      <c r="E47">
        <v>12.98</v>
      </c>
      <c r="F47">
        <v>234</v>
      </c>
      <c r="G47">
        <v>116</v>
      </c>
      <c r="H47">
        <v>946.56000000000006</v>
      </c>
      <c r="I47">
        <v>237.9</v>
      </c>
      <c r="J47">
        <v>46.940999999999995</v>
      </c>
      <c r="K47">
        <v>0</v>
      </c>
      <c r="L47">
        <v>0.44700000000000001</v>
      </c>
      <c r="M47">
        <v>1.71</v>
      </c>
    </row>
    <row r="49" spans="1:19" x14ac:dyDescent="0.3">
      <c r="A49" t="s">
        <v>194</v>
      </c>
    </row>
    <row r="51" spans="1:19" x14ac:dyDescent="0.3">
      <c r="A51" s="55"/>
      <c r="B51" s="55"/>
      <c r="C51" s="55"/>
      <c r="D51" s="55"/>
      <c r="E51" s="55"/>
      <c r="F51" s="55"/>
      <c r="G51" s="55"/>
      <c r="H51" s="55"/>
      <c r="I51" s="55"/>
      <c r="J51" s="55"/>
      <c r="K51" s="55"/>
      <c r="L51" s="55"/>
      <c r="M51" s="55"/>
      <c r="N51" s="55"/>
      <c r="O51" s="55"/>
      <c r="P51" s="55"/>
      <c r="Q51" s="55"/>
      <c r="R51" s="55"/>
      <c r="S51" s="55"/>
    </row>
    <row r="52" spans="1:19" x14ac:dyDescent="0.3">
      <c r="A52" s="55"/>
      <c r="B52" s="55"/>
      <c r="C52" s="55"/>
      <c r="D52" s="55"/>
      <c r="E52" s="55"/>
      <c r="G52" s="55"/>
      <c r="H52" s="55"/>
      <c r="I52" s="55"/>
      <c r="K52" s="55"/>
      <c r="L52" s="55"/>
      <c r="M52" s="55"/>
      <c r="N52" s="55"/>
      <c r="O52" s="55"/>
      <c r="P52" s="55"/>
      <c r="Q52" s="55"/>
      <c r="R52" s="55"/>
      <c r="S52" s="55"/>
    </row>
    <row r="53" spans="1:19" x14ac:dyDescent="0.3">
      <c r="A53" s="55"/>
      <c r="B53" s="55"/>
      <c r="C53" s="55"/>
      <c r="D53" s="55"/>
      <c r="E53" s="55"/>
      <c r="F53" s="55"/>
      <c r="G53" s="55"/>
      <c r="H53" s="55"/>
      <c r="I53" s="55"/>
      <c r="J53" s="55"/>
      <c r="K53" s="55"/>
      <c r="L53" s="55"/>
      <c r="M53" s="55"/>
      <c r="N53" s="55"/>
      <c r="O53" s="55"/>
      <c r="P53" s="55"/>
      <c r="Q53" s="55"/>
      <c r="R53" s="55"/>
      <c r="S53" s="55"/>
    </row>
    <row r="54" spans="1:19" x14ac:dyDescent="0.3">
      <c r="A54" s="55"/>
      <c r="B54" s="55"/>
      <c r="C54" s="55"/>
      <c r="D54" s="55"/>
      <c r="E54" s="55"/>
      <c r="F54" s="55"/>
      <c r="G54" s="55"/>
      <c r="H54" s="55"/>
      <c r="I54" s="55"/>
      <c r="K54" s="55"/>
      <c r="L54" s="55"/>
      <c r="M54" s="55"/>
      <c r="N54" s="55"/>
      <c r="O54" s="55"/>
      <c r="P54" s="55"/>
      <c r="Q54" s="55"/>
      <c r="R54" s="55"/>
      <c r="S54" s="55"/>
    </row>
    <row r="55" spans="1:19" x14ac:dyDescent="0.3">
      <c r="A55" s="55"/>
      <c r="B55" s="55"/>
      <c r="C55" s="55"/>
      <c r="D55" s="55"/>
      <c r="E55" s="55"/>
      <c r="F55" s="55"/>
      <c r="G55" s="55"/>
      <c r="H55" s="55"/>
      <c r="I55" s="55"/>
      <c r="J55" s="55"/>
      <c r="K55" s="55"/>
      <c r="L55" s="55"/>
      <c r="M55" s="55"/>
      <c r="N55" s="55"/>
      <c r="O55" s="55"/>
      <c r="P55" s="55"/>
      <c r="Q55" s="55"/>
      <c r="R55" s="55"/>
      <c r="S55" s="55"/>
    </row>
    <row r="56" spans="1:19" x14ac:dyDescent="0.3">
      <c r="A56" s="55"/>
      <c r="B56" s="55"/>
      <c r="C56" s="55"/>
      <c r="D56" s="55"/>
      <c r="E56" s="55"/>
      <c r="F56" s="55"/>
      <c r="G56" s="55"/>
      <c r="H56" s="55"/>
      <c r="I56" s="55"/>
      <c r="K56" s="55"/>
      <c r="L56" s="55"/>
      <c r="M56" s="55"/>
      <c r="N56" s="55"/>
      <c r="O56" s="55"/>
      <c r="P56" s="55"/>
      <c r="Q56" s="55"/>
      <c r="R56" s="55"/>
      <c r="S56" s="55"/>
    </row>
    <row r="57" spans="1:19" x14ac:dyDescent="0.3">
      <c r="A57" s="55"/>
      <c r="B57" s="55"/>
      <c r="C57" s="55"/>
      <c r="D57" s="55"/>
      <c r="E57" s="55"/>
      <c r="F57" s="55"/>
      <c r="G57" s="55"/>
      <c r="H57" s="55"/>
      <c r="I57" s="55"/>
      <c r="J57" s="55"/>
      <c r="K57" s="55"/>
      <c r="L57" s="55"/>
      <c r="M57" s="55"/>
      <c r="N57" s="55"/>
      <c r="O57" s="55"/>
      <c r="P57" s="55"/>
      <c r="Q57" s="55"/>
      <c r="R57" s="55"/>
      <c r="S57" s="55"/>
    </row>
    <row r="58" spans="1:19" x14ac:dyDescent="0.3">
      <c r="A58" s="55"/>
      <c r="B58" s="55"/>
      <c r="C58" s="55"/>
      <c r="D58" s="55"/>
      <c r="E58" s="55"/>
      <c r="F58" s="55"/>
      <c r="G58" s="55"/>
      <c r="H58" s="55"/>
      <c r="I58" s="55"/>
      <c r="J58" s="55"/>
      <c r="K58" s="55"/>
      <c r="L58" s="55"/>
      <c r="M58" s="55"/>
      <c r="N58" s="55"/>
      <c r="O58" s="55"/>
      <c r="P58" s="55"/>
      <c r="Q58" s="55"/>
      <c r="R58" s="55"/>
      <c r="S58" s="55"/>
    </row>
    <row r="59" spans="1:19" x14ac:dyDescent="0.3">
      <c r="A59" s="55"/>
      <c r="B59" s="55"/>
      <c r="C59" s="55"/>
      <c r="D59" s="55"/>
      <c r="E59" s="55"/>
      <c r="F59" s="55"/>
      <c r="G59" s="55"/>
      <c r="H59" s="55"/>
      <c r="I59" s="55"/>
      <c r="K59" s="55"/>
      <c r="L59" s="55"/>
      <c r="M59" s="55"/>
      <c r="N59" s="55"/>
      <c r="O59" s="55"/>
      <c r="P59" s="55"/>
      <c r="Q59" s="55"/>
      <c r="R59" s="55"/>
      <c r="S59" s="55"/>
    </row>
    <row r="60" spans="1:19" x14ac:dyDescent="0.3">
      <c r="A60" s="55"/>
      <c r="B60" s="55"/>
      <c r="C60" s="55"/>
      <c r="D60" s="55"/>
      <c r="E60" s="55"/>
      <c r="F60" s="55"/>
      <c r="G60" s="55"/>
      <c r="H60" s="55"/>
      <c r="I60" s="55"/>
      <c r="J60" s="55"/>
      <c r="K60" s="55"/>
      <c r="L60" s="55"/>
      <c r="M60" s="55"/>
      <c r="N60" s="55"/>
      <c r="O60" s="55"/>
      <c r="P60" s="55"/>
      <c r="Q60" s="55"/>
      <c r="R60" s="55"/>
      <c r="S60" s="55"/>
    </row>
    <row r="61" spans="1:19" x14ac:dyDescent="0.3">
      <c r="A61" s="55"/>
      <c r="B61" s="55"/>
      <c r="C61" s="55"/>
      <c r="D61" s="55"/>
      <c r="E61" s="55"/>
      <c r="F61" s="55"/>
      <c r="G61" s="55"/>
      <c r="H61" s="55"/>
      <c r="I61" s="55"/>
      <c r="K61" s="55"/>
      <c r="L61" s="55"/>
      <c r="M61" s="55"/>
      <c r="N61" s="55"/>
      <c r="O61" s="55"/>
      <c r="P61" s="55"/>
      <c r="Q61" s="55"/>
      <c r="R61" s="55"/>
      <c r="S61" s="55"/>
    </row>
    <row r="62" spans="1:19" x14ac:dyDescent="0.3">
      <c r="A62" s="55"/>
      <c r="B62" s="55"/>
      <c r="C62" s="55"/>
      <c r="D62" s="55"/>
      <c r="E62" s="55"/>
      <c r="F62" s="55"/>
      <c r="G62" s="55"/>
      <c r="H62" s="55"/>
      <c r="I62" s="55"/>
      <c r="K62" s="55"/>
      <c r="L62" s="55"/>
      <c r="M62" s="55"/>
      <c r="N62" s="55"/>
      <c r="O62" s="55"/>
      <c r="P62" s="55"/>
      <c r="Q62" s="55"/>
      <c r="R62" s="55"/>
      <c r="S62" s="55"/>
    </row>
    <row r="63" spans="1:19" x14ac:dyDescent="0.3">
      <c r="A63" s="55"/>
      <c r="B63" s="55"/>
      <c r="C63" s="55"/>
      <c r="D63" s="55"/>
      <c r="E63" s="55"/>
      <c r="F63" s="55"/>
      <c r="G63" s="55"/>
      <c r="H63" s="55"/>
      <c r="I63" s="55"/>
      <c r="J63" s="55"/>
      <c r="K63" s="55"/>
      <c r="L63" s="55"/>
      <c r="M63" s="55"/>
      <c r="N63" s="55"/>
      <c r="O63" s="55"/>
      <c r="P63" s="55"/>
      <c r="Q63" s="55"/>
      <c r="R63" s="55"/>
      <c r="S63" s="55"/>
    </row>
    <row r="64" spans="1:19" x14ac:dyDescent="0.3">
      <c r="A64" s="55"/>
      <c r="B64" s="55"/>
      <c r="C64" s="55"/>
      <c r="D64" s="55"/>
      <c r="E64" s="55"/>
      <c r="F64" s="55"/>
      <c r="G64" s="55"/>
      <c r="H64" s="55"/>
      <c r="I64" s="55"/>
      <c r="J64" s="55"/>
      <c r="K64" s="55"/>
      <c r="L64" s="55"/>
      <c r="M64" s="55"/>
      <c r="N64" s="55"/>
      <c r="O64" s="55"/>
      <c r="P64" s="55"/>
      <c r="Q64" s="55"/>
      <c r="R64" s="55"/>
      <c r="S64" s="55"/>
    </row>
    <row r="65" spans="1:19" x14ac:dyDescent="0.3">
      <c r="A65" s="55"/>
      <c r="B65" s="55"/>
      <c r="C65" s="55"/>
      <c r="D65" s="55"/>
      <c r="E65" s="55"/>
      <c r="F65" s="55"/>
      <c r="G65" s="55"/>
      <c r="H65" s="55"/>
      <c r="I65" s="55"/>
      <c r="K65" s="55"/>
      <c r="L65" s="55"/>
      <c r="M65" s="55"/>
      <c r="N65" s="55"/>
      <c r="O65" s="55"/>
      <c r="P65" s="55"/>
      <c r="Q65" s="55"/>
      <c r="R65" s="55"/>
      <c r="S65" s="55"/>
    </row>
    <row r="66" spans="1:19" x14ac:dyDescent="0.3">
      <c r="A66" s="55"/>
      <c r="B66" s="55"/>
      <c r="C66" s="55"/>
      <c r="D66" s="55"/>
      <c r="E66" s="55"/>
      <c r="F66" s="55"/>
      <c r="G66" s="55"/>
      <c r="H66" s="55"/>
      <c r="I66" s="55"/>
      <c r="J66" s="55"/>
      <c r="K66" s="55"/>
      <c r="L66" s="55"/>
      <c r="M66" s="55"/>
      <c r="N66" s="55"/>
      <c r="O66" s="55"/>
      <c r="P66" s="55"/>
      <c r="Q66" s="55"/>
      <c r="R66" s="55"/>
      <c r="S66" s="55"/>
    </row>
    <row r="67" spans="1:19" x14ac:dyDescent="0.3">
      <c r="A67" s="55"/>
      <c r="B67" s="55"/>
      <c r="C67" s="55"/>
      <c r="D67" s="55"/>
      <c r="E67" s="55"/>
      <c r="F67" s="55"/>
      <c r="G67" s="55"/>
      <c r="H67" s="55"/>
      <c r="I67" s="55"/>
      <c r="J67" s="55"/>
      <c r="K67" s="55"/>
      <c r="L67" s="55"/>
      <c r="M67" s="55"/>
      <c r="N67" s="55"/>
      <c r="O67" s="55"/>
      <c r="P67" s="55"/>
      <c r="Q67" s="55"/>
      <c r="R67" s="55"/>
      <c r="S67" s="55"/>
    </row>
    <row r="68" spans="1:19" x14ac:dyDescent="0.3">
      <c r="A68" s="55"/>
      <c r="B68" s="55"/>
      <c r="C68" s="55"/>
      <c r="D68" s="55"/>
      <c r="E68" s="55"/>
      <c r="F68" s="55"/>
      <c r="G68" s="55"/>
      <c r="H68" s="55"/>
      <c r="I68" s="55"/>
      <c r="J68" s="55"/>
      <c r="K68" s="55"/>
      <c r="L68" s="55"/>
      <c r="M68" s="55"/>
      <c r="N68" s="55"/>
      <c r="O68" s="55"/>
      <c r="P68" s="55"/>
      <c r="Q68" s="55"/>
      <c r="R68" s="55"/>
      <c r="S68" s="55"/>
    </row>
    <row r="69" spans="1:19" x14ac:dyDescent="0.3">
      <c r="A69" s="55"/>
      <c r="B69" s="55"/>
      <c r="C69" s="55"/>
      <c r="D69" s="55"/>
      <c r="E69" s="55"/>
      <c r="F69" s="55"/>
      <c r="G69" s="55"/>
      <c r="H69" s="55"/>
      <c r="I69" s="55"/>
      <c r="K69" s="55"/>
      <c r="L69" s="55"/>
      <c r="M69" s="55"/>
      <c r="N69" s="55"/>
      <c r="O69" s="55"/>
      <c r="P69" s="55"/>
      <c r="Q69" s="55"/>
      <c r="R69" s="55"/>
      <c r="S69" s="55"/>
    </row>
    <row r="70" spans="1:19" x14ac:dyDescent="0.3">
      <c r="A70" s="55"/>
      <c r="B70" s="55"/>
      <c r="C70" s="55"/>
      <c r="D70" s="55"/>
      <c r="E70" s="55"/>
      <c r="F70" s="55"/>
      <c r="G70" s="55"/>
      <c r="H70" s="55"/>
      <c r="I70" s="55"/>
      <c r="K70" s="55"/>
      <c r="L70" s="55"/>
      <c r="M70" s="55"/>
      <c r="N70" s="55"/>
      <c r="O70" s="55"/>
      <c r="P70" s="55"/>
      <c r="Q70" s="55"/>
      <c r="R70" s="55"/>
      <c r="S70" s="55"/>
    </row>
    <row r="71" spans="1:19" x14ac:dyDescent="0.3">
      <c r="A71" s="55"/>
      <c r="B71" s="55"/>
      <c r="C71" s="55"/>
      <c r="D71" s="55"/>
      <c r="E71" s="55"/>
      <c r="F71" s="55"/>
      <c r="G71" s="55"/>
      <c r="H71" s="55"/>
      <c r="I71" s="55"/>
      <c r="J71" s="55"/>
      <c r="K71" s="55"/>
      <c r="L71" s="55"/>
      <c r="M71" s="55"/>
      <c r="N71" s="55"/>
      <c r="O71" s="55"/>
      <c r="P71" s="55"/>
      <c r="Q71" s="55"/>
      <c r="R71" s="55"/>
      <c r="S71" s="5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7"/>
  <sheetViews>
    <sheetView zoomScale="115" zoomScaleNormal="115" workbookViewId="0">
      <selection activeCell="D65" sqref="D65"/>
    </sheetView>
  </sheetViews>
  <sheetFormatPr defaultRowHeight="14.4" x14ac:dyDescent="0.3"/>
  <sheetData>
    <row r="1" spans="1:43" x14ac:dyDescent="0.3">
      <c r="A1" t="s">
        <v>0</v>
      </c>
      <c r="B1" t="s">
        <v>1</v>
      </c>
      <c r="C1" t="s">
        <v>10</v>
      </c>
      <c r="F1" t="s">
        <v>11</v>
      </c>
      <c r="I1" t="s">
        <v>12</v>
      </c>
      <c r="L1" t="s">
        <v>13</v>
      </c>
      <c r="O1" t="s">
        <v>14</v>
      </c>
      <c r="R1" t="s">
        <v>15</v>
      </c>
      <c r="U1" t="s">
        <v>16</v>
      </c>
      <c r="X1" t="s">
        <v>17</v>
      </c>
      <c r="AA1" t="s">
        <v>18</v>
      </c>
      <c r="AD1" t="s">
        <v>19</v>
      </c>
      <c r="AG1" t="s">
        <v>20</v>
      </c>
      <c r="AJ1" t="s">
        <v>112</v>
      </c>
      <c r="AK1" t="s">
        <v>113</v>
      </c>
      <c r="AL1" t="s">
        <v>111</v>
      </c>
      <c r="AN1" t="s">
        <v>7</v>
      </c>
      <c r="AO1" t="s">
        <v>116</v>
      </c>
      <c r="AP1" t="s">
        <v>123</v>
      </c>
      <c r="AQ1" t="s">
        <v>124</v>
      </c>
    </row>
    <row r="2" spans="1:43" x14ac:dyDescent="0.3">
      <c r="C2" t="s">
        <v>43</v>
      </c>
      <c r="D2" t="s">
        <v>44</v>
      </c>
      <c r="E2" t="s">
        <v>45</v>
      </c>
      <c r="F2" t="s">
        <v>43</v>
      </c>
      <c r="G2" t="s">
        <v>44</v>
      </c>
      <c r="H2" t="s">
        <v>45</v>
      </c>
      <c r="I2" t="s">
        <v>43</v>
      </c>
      <c r="J2" t="s">
        <v>44</v>
      </c>
      <c r="K2" t="s">
        <v>45</v>
      </c>
      <c r="L2" t="s">
        <v>43</v>
      </c>
      <c r="M2" t="s">
        <v>44</v>
      </c>
      <c r="N2" t="s">
        <v>45</v>
      </c>
      <c r="O2" t="s">
        <v>43</v>
      </c>
      <c r="P2" t="s">
        <v>44</v>
      </c>
      <c r="Q2" t="s">
        <v>45</v>
      </c>
      <c r="R2" t="s">
        <v>43</v>
      </c>
      <c r="S2" t="s">
        <v>44</v>
      </c>
      <c r="T2" t="s">
        <v>45</v>
      </c>
      <c r="U2" t="s">
        <v>43</v>
      </c>
      <c r="V2" t="s">
        <v>44</v>
      </c>
      <c r="W2" t="s">
        <v>45</v>
      </c>
      <c r="X2" t="s">
        <v>43</v>
      </c>
      <c r="Y2" t="s">
        <v>44</v>
      </c>
      <c r="Z2" t="s">
        <v>45</v>
      </c>
      <c r="AA2" t="s">
        <v>43</v>
      </c>
      <c r="AB2" t="s">
        <v>44</v>
      </c>
      <c r="AC2" t="s">
        <v>45</v>
      </c>
      <c r="AD2" t="s">
        <v>43</v>
      </c>
      <c r="AE2" t="s">
        <v>44</v>
      </c>
      <c r="AF2" t="s">
        <v>45</v>
      </c>
      <c r="AG2" t="s">
        <v>43</v>
      </c>
      <c r="AH2" t="s">
        <v>44</v>
      </c>
      <c r="AI2" t="s">
        <v>45</v>
      </c>
      <c r="AL2" t="s">
        <v>114</v>
      </c>
      <c r="AP2" t="s">
        <v>114</v>
      </c>
      <c r="AQ2" t="s">
        <v>114</v>
      </c>
    </row>
    <row r="3" spans="1:43" x14ac:dyDescent="0.3">
      <c r="A3">
        <v>58</v>
      </c>
      <c r="B3" t="s">
        <v>21</v>
      </c>
      <c r="C3">
        <v>2077</v>
      </c>
      <c r="D3">
        <v>90.344539362032705</v>
      </c>
      <c r="E3">
        <v>90.344539362032705</v>
      </c>
      <c r="F3">
        <v>38.799999999999997</v>
      </c>
      <c r="G3">
        <v>0.99237051227291195</v>
      </c>
      <c r="H3">
        <v>0.99237051227291195</v>
      </c>
      <c r="I3">
        <v>843</v>
      </c>
      <c r="J3">
        <v>21.03398373172314</v>
      </c>
      <c r="K3">
        <v>42.06796746344628</v>
      </c>
      <c r="L3">
        <v>768</v>
      </c>
      <c r="M3">
        <v>31.598436535692244</v>
      </c>
      <c r="N3">
        <v>63.196873071384488</v>
      </c>
      <c r="O3">
        <v>6573.1</v>
      </c>
      <c r="P3">
        <v>185.40477876156118</v>
      </c>
      <c r="Q3">
        <v>185.40477876156118</v>
      </c>
      <c r="R3">
        <v>427.07</v>
      </c>
      <c r="S3">
        <v>6.9991808858953402</v>
      </c>
      <c r="T3">
        <v>6.9991808858953402</v>
      </c>
      <c r="U3">
        <v>1436.8</v>
      </c>
      <c r="V3">
        <v>14.956757814614486</v>
      </c>
      <c r="W3">
        <v>29.913515629228971</v>
      </c>
      <c r="X3">
        <v>0</v>
      </c>
      <c r="Y3">
        <v>0</v>
      </c>
      <c r="Z3">
        <v>0</v>
      </c>
      <c r="AA3">
        <v>2.1999999999999999E-2</v>
      </c>
      <c r="AB3">
        <v>3.9393342525113255E-4</v>
      </c>
      <c r="AC3">
        <v>9.8483356312783132E-4</v>
      </c>
      <c r="AD3">
        <v>0.67500000000000004</v>
      </c>
      <c r="AE3">
        <v>1.2288176862364228E-2</v>
      </c>
      <c r="AF3">
        <v>7.3729061174185373E-2</v>
      </c>
      <c r="AG3">
        <v>17.3</v>
      </c>
      <c r="AH3">
        <v>0.21650981177412898</v>
      </c>
      <c r="AI3">
        <v>0.21650981177412898</v>
      </c>
      <c r="AJ3">
        <v>196.6764643038737</v>
      </c>
      <c r="AK3">
        <v>222.53398508845962</v>
      </c>
      <c r="AL3">
        <v>-6.1681479605452809</v>
      </c>
      <c r="AN3">
        <v>17680</v>
      </c>
      <c r="AO3">
        <v>176.8</v>
      </c>
      <c r="AP3">
        <v>104.86695631310022</v>
      </c>
      <c r="AQ3">
        <v>3.9588127182665946</v>
      </c>
    </row>
    <row r="4" spans="1:43" x14ac:dyDescent="0.3">
      <c r="A4">
        <v>60</v>
      </c>
      <c r="B4" t="s">
        <v>23</v>
      </c>
      <c r="C4">
        <v>32.299999999999997</v>
      </c>
      <c r="D4">
        <v>1.4049728557504362</v>
      </c>
      <c r="E4">
        <v>1.4049728557504362</v>
      </c>
      <c r="F4">
        <v>3.39</v>
      </c>
      <c r="G4">
        <v>8.6704537025906497E-2</v>
      </c>
      <c r="H4">
        <v>8.6704537025906497E-2</v>
      </c>
      <c r="I4">
        <v>12.2</v>
      </c>
      <c r="J4">
        <v>0.30440640750536452</v>
      </c>
      <c r="K4">
        <v>0.60881281501072904</v>
      </c>
      <c r="L4">
        <v>6.03</v>
      </c>
      <c r="M4">
        <v>0.24809709936227115</v>
      </c>
      <c r="N4">
        <v>0.49619419872454229</v>
      </c>
      <c r="O4">
        <v>15.8</v>
      </c>
      <c r="P4">
        <v>0.44566422303519904</v>
      </c>
      <c r="Q4">
        <v>0.44566422303519904</v>
      </c>
      <c r="R4">
        <v>106.14</v>
      </c>
      <c r="S4">
        <v>1.7395112258621104</v>
      </c>
      <c r="T4">
        <v>1.7395112258621104</v>
      </c>
      <c r="U4">
        <v>2.8</v>
      </c>
      <c r="V4">
        <v>2.9147356542956956E-2</v>
      </c>
      <c r="W4">
        <v>5.8294713085913913E-2</v>
      </c>
      <c r="X4">
        <v>0.02</v>
      </c>
      <c r="Y4">
        <v>3.2255494481568729E-4</v>
      </c>
      <c r="Z4">
        <v>3.2255494481568729E-4</v>
      </c>
      <c r="AA4">
        <v>0.624</v>
      </c>
      <c r="AB4">
        <v>1.117338442530485E-2</v>
      </c>
      <c r="AC4">
        <v>2.7933461063262124E-2</v>
      </c>
      <c r="AD4">
        <v>6.7299999999999999E-2</v>
      </c>
      <c r="AE4">
        <v>1.2251767449438704E-3</v>
      </c>
      <c r="AF4">
        <v>7.3510604696632228E-3</v>
      </c>
      <c r="AH4">
        <v>0</v>
      </c>
      <c r="AI4">
        <v>0</v>
      </c>
      <c r="AJ4">
        <v>2.6319689280445395</v>
      </c>
      <c r="AK4">
        <v>2.2437927169280387</v>
      </c>
      <c r="AL4">
        <v>7.9613451062922893</v>
      </c>
      <c r="AN4">
        <v>270</v>
      </c>
      <c r="AO4">
        <v>2.7</v>
      </c>
      <c r="AP4">
        <v>16.506082334637</v>
      </c>
      <c r="AQ4">
        <v>64.426341698596673</v>
      </c>
    </row>
    <row r="5" spans="1:43" x14ac:dyDescent="0.3">
      <c r="A5">
        <v>66</v>
      </c>
      <c r="B5" t="s">
        <v>24</v>
      </c>
      <c r="C5">
        <v>38.9</v>
      </c>
      <c r="D5">
        <v>1.6920570925291631</v>
      </c>
      <c r="E5">
        <v>1.6920570925291631</v>
      </c>
      <c r="F5">
        <v>3.39</v>
      </c>
      <c r="G5">
        <v>8.6704537025906497E-2</v>
      </c>
      <c r="H5">
        <v>8.6704537025906497E-2</v>
      </c>
      <c r="I5">
        <v>14.5</v>
      </c>
      <c r="J5">
        <v>0.36179450072358899</v>
      </c>
      <c r="K5">
        <v>0.72358900144717797</v>
      </c>
      <c r="L5">
        <v>7.12</v>
      </c>
      <c r="M5">
        <v>0.29294383871631352</v>
      </c>
      <c r="N5">
        <v>0.58588767743262704</v>
      </c>
      <c r="O5">
        <v>87.332499999999996</v>
      </c>
      <c r="P5">
        <v>2.463352579634273</v>
      </c>
      <c r="Q5">
        <v>2.463352579634273</v>
      </c>
      <c r="R5">
        <v>59.78</v>
      </c>
      <c r="S5">
        <v>0.97972471341659084</v>
      </c>
      <c r="T5">
        <v>0.97972471341659084</v>
      </c>
      <c r="U5">
        <v>61.677</v>
      </c>
      <c r="V5">
        <v>0.64204339624998441</v>
      </c>
      <c r="W5">
        <v>1.2840867924999688</v>
      </c>
      <c r="X5">
        <v>0.59109999999999996</v>
      </c>
      <c r="Y5">
        <v>9.5331113940276373E-3</v>
      </c>
      <c r="Z5">
        <v>9.5331113940276373E-3</v>
      </c>
      <c r="AA5">
        <v>8.7999999999999995E-2</v>
      </c>
      <c r="AB5">
        <v>1.5757337010045302E-3</v>
      </c>
      <c r="AC5">
        <v>3.9393342525113253E-3</v>
      </c>
      <c r="AD5">
        <v>0.157</v>
      </c>
      <c r="AE5">
        <v>2.8581389146536055E-3</v>
      </c>
      <c r="AF5">
        <v>1.7148833487921632E-2</v>
      </c>
      <c r="AH5">
        <v>0</v>
      </c>
      <c r="AI5">
        <v>0</v>
      </c>
      <c r="AJ5">
        <v>3.1093264761753074</v>
      </c>
      <c r="AK5">
        <v>4.7366971969448599</v>
      </c>
      <c r="AL5">
        <v>-20.74134349536557</v>
      </c>
      <c r="AN5">
        <v>537</v>
      </c>
      <c r="AO5">
        <v>5.37</v>
      </c>
      <c r="AP5">
        <v>45.872487516466911</v>
      </c>
      <c r="AQ5">
        <v>18.244408071072453</v>
      </c>
    </row>
    <row r="6" spans="1:43" x14ac:dyDescent="0.3">
      <c r="A6">
        <v>67</v>
      </c>
      <c r="B6" t="s">
        <v>25</v>
      </c>
      <c r="C6">
        <v>1861</v>
      </c>
      <c r="D6">
        <v>80.949055249274366</v>
      </c>
      <c r="E6">
        <v>80.949055249274366</v>
      </c>
      <c r="F6">
        <v>27.9</v>
      </c>
      <c r="G6">
        <v>0.71358601269108879</v>
      </c>
      <c r="H6">
        <v>0.71358601269108879</v>
      </c>
      <c r="I6">
        <v>587</v>
      </c>
      <c r="J6">
        <v>14.646439443085981</v>
      </c>
      <c r="K6">
        <v>29.292878886171962</v>
      </c>
      <c r="L6">
        <v>571</v>
      </c>
      <c r="M6">
        <v>23.493108413906604</v>
      </c>
      <c r="N6">
        <v>46.986216827813209</v>
      </c>
      <c r="O6">
        <v>5406.8</v>
      </c>
      <c r="P6">
        <v>152.5074253865009</v>
      </c>
      <c r="Q6">
        <v>152.5074253865009</v>
      </c>
      <c r="R6">
        <v>386.74</v>
      </c>
      <c r="S6">
        <v>6.3382190643481495</v>
      </c>
      <c r="T6">
        <v>6.3382190643481495</v>
      </c>
      <c r="U6">
        <v>854.5</v>
      </c>
      <c r="V6">
        <v>8.895148630698829</v>
      </c>
      <c r="W6">
        <v>17.790297261397658</v>
      </c>
      <c r="X6">
        <v>0</v>
      </c>
      <c r="Y6">
        <v>0</v>
      </c>
      <c r="Z6">
        <v>0</v>
      </c>
      <c r="AA6">
        <v>6.6900000000000001E-2</v>
      </c>
      <c r="AB6">
        <v>1.1979157340591259E-3</v>
      </c>
      <c r="AC6">
        <v>2.9947893351478148E-3</v>
      </c>
      <c r="AD6">
        <v>0.184</v>
      </c>
      <c r="AE6">
        <v>3.3496659891481743E-3</v>
      </c>
      <c r="AF6">
        <v>2.0097995934889045E-2</v>
      </c>
      <c r="AG6">
        <v>14.8</v>
      </c>
      <c r="AH6">
        <v>0.18522226672006409</v>
      </c>
      <c r="AI6">
        <v>0.18522226672006409</v>
      </c>
      <c r="AJ6">
        <v>157.96482976122067</v>
      </c>
      <c r="AK6">
        <v>176.82116397896678</v>
      </c>
      <c r="AL6">
        <v>-5.6323545698807438</v>
      </c>
      <c r="AN6">
        <v>14700</v>
      </c>
      <c r="AO6">
        <v>147</v>
      </c>
      <c r="AP6">
        <v>103.7465478819734</v>
      </c>
      <c r="AQ6">
        <v>4.3117136492164283</v>
      </c>
    </row>
    <row r="7" spans="1:43" x14ac:dyDescent="0.3">
      <c r="A7">
        <v>70</v>
      </c>
      <c r="B7" t="s">
        <v>26</v>
      </c>
      <c r="C7">
        <v>87.9</v>
      </c>
      <c r="D7">
        <v>3.8234400625530451</v>
      </c>
      <c r="E7">
        <v>3.8234400625530451</v>
      </c>
      <c r="F7">
        <v>5.85</v>
      </c>
      <c r="G7">
        <v>0.14962287362877669</v>
      </c>
      <c r="H7">
        <v>0.14962287362877669</v>
      </c>
      <c r="I7">
        <v>28.7</v>
      </c>
      <c r="J7">
        <v>0.71610359798393131</v>
      </c>
      <c r="K7">
        <v>1.4322071959678626</v>
      </c>
      <c r="L7">
        <v>22.3</v>
      </c>
      <c r="M7">
        <v>0.9175066858671056</v>
      </c>
      <c r="N7">
        <v>1.8350133717342112</v>
      </c>
      <c r="O7">
        <v>137.5</v>
      </c>
      <c r="P7">
        <v>3.8784070042620167</v>
      </c>
      <c r="Q7">
        <v>3.8784070042620167</v>
      </c>
      <c r="R7">
        <v>96.73599986367671</v>
      </c>
      <c r="S7">
        <v>1.5853905945718976</v>
      </c>
      <c r="T7">
        <v>1.5853905945718976</v>
      </c>
      <c r="U7">
        <v>86.6</v>
      </c>
      <c r="V7">
        <v>0.90148609879288299</v>
      </c>
      <c r="W7">
        <v>1.802972197585766</v>
      </c>
      <c r="X7">
        <v>0.04</v>
      </c>
      <c r="Y7">
        <v>6.4510988963137458E-4</v>
      </c>
      <c r="Z7">
        <v>6.4510988963137458E-4</v>
      </c>
      <c r="AA7">
        <v>0.34499999999999997</v>
      </c>
      <c r="AB7">
        <v>6.1775923505291239E-3</v>
      </c>
      <c r="AC7">
        <v>1.5443980876322809E-2</v>
      </c>
      <c r="AD7">
        <v>0.107</v>
      </c>
      <c r="AE7">
        <v>1.9479035915155145E-3</v>
      </c>
      <c r="AF7">
        <v>1.1687421549093087E-2</v>
      </c>
      <c r="AH7">
        <v>0</v>
      </c>
      <c r="AI7">
        <v>0</v>
      </c>
      <c r="AJ7">
        <v>7.2674149063093116</v>
      </c>
      <c r="AK7">
        <v>7.2674149063093116</v>
      </c>
      <c r="AL7">
        <v>0</v>
      </c>
      <c r="AN7">
        <v>808</v>
      </c>
      <c r="AO7">
        <v>8.08</v>
      </c>
      <c r="AP7">
        <v>48.000086686411095</v>
      </c>
      <c r="AQ7">
        <v>19.621170724899724</v>
      </c>
    </row>
    <row r="8" spans="1:43" x14ac:dyDescent="0.3">
      <c r="A8">
        <v>10</v>
      </c>
      <c r="B8">
        <v>16</v>
      </c>
      <c r="C8">
        <v>112.3</v>
      </c>
      <c r="D8">
        <v>4.884781786401672</v>
      </c>
      <c r="E8">
        <v>4.884781786401672</v>
      </c>
      <c r="F8">
        <v>5.51</v>
      </c>
      <c r="G8">
        <v>0.14092684336659136</v>
      </c>
      <c r="H8">
        <v>0.14092684336659136</v>
      </c>
      <c r="I8">
        <v>25.6</v>
      </c>
      <c r="J8">
        <v>0.6387544288637157</v>
      </c>
      <c r="K8">
        <v>1.2775088577274314</v>
      </c>
      <c r="L8">
        <v>11.46</v>
      </c>
      <c r="M8">
        <v>0.47150792018103277</v>
      </c>
      <c r="N8">
        <v>0.94301584036206554</v>
      </c>
      <c r="O8">
        <v>96.388000000000005</v>
      </c>
      <c r="P8">
        <v>2.7187774132858711</v>
      </c>
      <c r="Q8">
        <v>2.7187774132858711</v>
      </c>
      <c r="R8">
        <v>253.55363355068863</v>
      </c>
      <c r="S8">
        <v>4.1554493303142142</v>
      </c>
      <c r="T8">
        <v>4.1554493303142142</v>
      </c>
      <c r="U8">
        <v>17.66</v>
      </c>
      <c r="V8">
        <v>0.1838365416245071</v>
      </c>
      <c r="W8">
        <v>0.36767308324901421</v>
      </c>
      <c r="X8">
        <v>0.27699999999999997</v>
      </c>
      <c r="Y8">
        <v>4.4673859856972685E-3</v>
      </c>
      <c r="Z8">
        <v>4.4673859856972685E-3</v>
      </c>
      <c r="AA8">
        <v>3.8000000000000002E-4</v>
      </c>
      <c r="AB8">
        <v>6.8043046179741077E-6</v>
      </c>
      <c r="AC8">
        <v>1.7010761544935268E-5</v>
      </c>
      <c r="AD8">
        <v>1.07E-3</v>
      </c>
      <c r="AE8">
        <v>1.9479035915155145E-5</v>
      </c>
      <c r="AF8">
        <v>1.1687421549093086E-4</v>
      </c>
      <c r="AH8">
        <v>0</v>
      </c>
      <c r="AI8">
        <v>0</v>
      </c>
      <c r="AJ8">
        <v>7.2463672128347962</v>
      </c>
      <c r="AK8">
        <v>7.2463672128347962</v>
      </c>
      <c r="AL8">
        <v>0</v>
      </c>
      <c r="AN8">
        <v>771</v>
      </c>
      <c r="AO8">
        <v>7.71</v>
      </c>
      <c r="AP8">
        <v>35.263001469336849</v>
      </c>
      <c r="AQ8">
        <v>53.896878473595514</v>
      </c>
    </row>
    <row r="9" spans="1:43" x14ac:dyDescent="0.3">
      <c r="A9">
        <v>12</v>
      </c>
      <c r="B9">
        <v>23</v>
      </c>
      <c r="C9">
        <v>102.1</v>
      </c>
      <c r="D9">
        <v>4.4411061477436391</v>
      </c>
      <c r="E9">
        <v>4.4411061477436391</v>
      </c>
      <c r="F9">
        <v>9.7799999999999994</v>
      </c>
      <c r="G9">
        <v>0.250138752835801</v>
      </c>
      <c r="H9">
        <v>0.250138752835801</v>
      </c>
      <c r="I9">
        <v>43.4</v>
      </c>
      <c r="J9">
        <v>1.0828883676830181</v>
      </c>
      <c r="K9">
        <v>2.1657767353660362</v>
      </c>
      <c r="L9">
        <v>8.0399999999999991</v>
      </c>
      <c r="M9">
        <v>0.33079613248302814</v>
      </c>
      <c r="N9">
        <v>0.66159226496605628</v>
      </c>
      <c r="O9">
        <v>102.45599999999999</v>
      </c>
      <c r="P9">
        <v>2.8899350402085027</v>
      </c>
      <c r="Q9">
        <v>2.8899350402085027</v>
      </c>
      <c r="R9">
        <v>244.82526810939063</v>
      </c>
      <c r="S9">
        <v>4.0124015663367807</v>
      </c>
      <c r="T9">
        <v>4.0124015663367807</v>
      </c>
      <c r="U9">
        <v>29.637999999999998</v>
      </c>
      <c r="V9">
        <v>0.30852476900719938</v>
      </c>
      <c r="W9">
        <v>0.61704953801439877</v>
      </c>
      <c r="X9">
        <v>0</v>
      </c>
      <c r="Y9">
        <v>0</v>
      </c>
      <c r="Z9">
        <v>0</v>
      </c>
      <c r="AA9">
        <v>0</v>
      </c>
      <c r="AB9">
        <v>0</v>
      </c>
      <c r="AC9">
        <v>0</v>
      </c>
      <c r="AD9">
        <v>7.0699999999999999E-3</v>
      </c>
      <c r="AE9">
        <v>1.2870727469172606E-4</v>
      </c>
      <c r="AF9">
        <v>7.7224364815035634E-4</v>
      </c>
      <c r="AH9">
        <v>0</v>
      </c>
      <c r="AI9">
        <v>0</v>
      </c>
      <c r="AJ9">
        <v>7.5193861445596824</v>
      </c>
      <c r="AK9">
        <v>7.5193861445596824</v>
      </c>
      <c r="AL9">
        <v>0</v>
      </c>
      <c r="AN9">
        <v>824</v>
      </c>
      <c r="AO9">
        <v>8.24</v>
      </c>
      <c r="AP9">
        <v>35.072027186996394</v>
      </c>
      <c r="AQ9">
        <v>48.694193766223066</v>
      </c>
    </row>
    <row r="10" spans="1:43" x14ac:dyDescent="0.3">
      <c r="A10">
        <v>26</v>
      </c>
      <c r="B10" t="s">
        <v>28</v>
      </c>
      <c r="C10">
        <v>61.5</v>
      </c>
      <c r="D10">
        <v>2.6751031154381373</v>
      </c>
      <c r="E10">
        <v>2.6751031154381373</v>
      </c>
      <c r="F10">
        <v>4.78</v>
      </c>
      <c r="G10">
        <v>0.12225595486248762</v>
      </c>
      <c r="H10">
        <v>0.12225595486248762</v>
      </c>
      <c r="I10">
        <v>12.6</v>
      </c>
      <c r="J10">
        <v>0.31438694545636009</v>
      </c>
      <c r="K10">
        <v>0.62877389091272018</v>
      </c>
      <c r="L10">
        <v>3.88</v>
      </c>
      <c r="M10">
        <v>0.15963793458136186</v>
      </c>
      <c r="N10">
        <v>0.31927586916272371</v>
      </c>
      <c r="O10">
        <v>56.297499999999999</v>
      </c>
      <c r="P10">
        <v>1.5879608605268427</v>
      </c>
      <c r="Q10">
        <v>1.5879608605268427</v>
      </c>
      <c r="R10">
        <v>134.19999999999999</v>
      </c>
      <c r="S10">
        <v>2.199382009710714</v>
      </c>
      <c r="T10">
        <v>2.199382009710714</v>
      </c>
      <c r="U10">
        <v>3.1025</v>
      </c>
      <c r="V10">
        <v>3.2296312026615703E-2</v>
      </c>
      <c r="W10">
        <v>6.4592624053231407E-2</v>
      </c>
      <c r="X10">
        <v>0.42799999999999999</v>
      </c>
      <c r="Y10">
        <v>6.9026758190557074E-3</v>
      </c>
      <c r="Z10">
        <v>6.9026758190557074E-3</v>
      </c>
      <c r="AA10">
        <v>0.81899999999999995</v>
      </c>
      <c r="AB10">
        <v>1.4665067058212616E-2</v>
      </c>
      <c r="AC10">
        <v>3.6662667645531541E-2</v>
      </c>
      <c r="AD10">
        <v>0.57799999999999996</v>
      </c>
      <c r="AE10">
        <v>1.0522320335476331E-2</v>
      </c>
      <c r="AF10">
        <v>6.3133922012857988E-2</v>
      </c>
      <c r="AH10">
        <v>0</v>
      </c>
      <c r="AI10">
        <v>0</v>
      </c>
      <c r="AJ10">
        <v>3.8452054200344579</v>
      </c>
      <c r="AK10">
        <v>3.858838170109844</v>
      </c>
      <c r="AL10">
        <v>-0.17695577544273425</v>
      </c>
      <c r="AN10">
        <v>442</v>
      </c>
      <c r="AO10">
        <v>4.42</v>
      </c>
      <c r="AP10">
        <v>35.926716301512279</v>
      </c>
      <c r="AQ10">
        <v>49.759773975355522</v>
      </c>
    </row>
    <row r="11" spans="1:43" x14ac:dyDescent="0.3">
      <c r="A11">
        <v>28</v>
      </c>
      <c r="B11" t="s">
        <v>29</v>
      </c>
      <c r="C11">
        <v>25.7</v>
      </c>
      <c r="D11">
        <v>1.1178886189717094</v>
      </c>
      <c r="E11">
        <v>1.1178886189717094</v>
      </c>
      <c r="F11">
        <v>3.35</v>
      </c>
      <c r="G11">
        <v>8.568147464211999E-2</v>
      </c>
      <c r="H11">
        <v>8.568147464211999E-2</v>
      </c>
      <c r="I11">
        <v>4.3</v>
      </c>
      <c r="J11">
        <v>0.10729078297320224</v>
      </c>
      <c r="K11">
        <v>0.21458156594640448</v>
      </c>
      <c r="L11">
        <v>3.06</v>
      </c>
      <c r="M11">
        <v>0.12590002057189878</v>
      </c>
      <c r="N11">
        <v>0.25180004114379756</v>
      </c>
      <c r="O11">
        <v>49.367699999999999</v>
      </c>
      <c r="P11">
        <v>1.3924947888313162</v>
      </c>
      <c r="Q11">
        <v>1.3924947888313162</v>
      </c>
      <c r="R11">
        <v>18.3</v>
      </c>
      <c r="S11">
        <v>0.29991572859691557</v>
      </c>
      <c r="T11">
        <v>0.29991572859691557</v>
      </c>
      <c r="U11">
        <v>4.1706000000000003</v>
      </c>
      <c r="V11">
        <v>4.3414987570734392E-2</v>
      </c>
      <c r="W11">
        <v>8.6829975141468785E-2</v>
      </c>
      <c r="X11">
        <v>3.4483000000000001</v>
      </c>
      <c r="Y11">
        <v>5.5613310810396721E-2</v>
      </c>
      <c r="Z11">
        <v>5.5613310810396721E-2</v>
      </c>
      <c r="AA11">
        <v>5.7799999999999997E-2</v>
      </c>
      <c r="AB11">
        <v>1.0349705445234301E-3</v>
      </c>
      <c r="AC11">
        <v>2.5874263613085754E-3</v>
      </c>
      <c r="AD11">
        <v>2.07E-2</v>
      </c>
      <c r="AE11">
        <v>3.7683742377916962E-4</v>
      </c>
      <c r="AF11">
        <v>2.2610245426750177E-3</v>
      </c>
      <c r="AH11">
        <v>0</v>
      </c>
      <c r="AI11">
        <v>0</v>
      </c>
      <c r="AJ11">
        <v>1.6748001516080151</v>
      </c>
      <c r="AK11">
        <v>1.8348538033800972</v>
      </c>
      <c r="AL11">
        <v>-4.5603826993998959</v>
      </c>
      <c r="AN11">
        <v>220</v>
      </c>
      <c r="AO11">
        <v>2.2000000000000002</v>
      </c>
      <c r="AP11">
        <v>63.295217674150727</v>
      </c>
      <c r="AQ11">
        <v>13.632533118041614</v>
      </c>
    </row>
    <row r="12" spans="1:43" x14ac:dyDescent="0.3">
      <c r="A12">
        <v>30</v>
      </c>
      <c r="B12" t="s">
        <v>30</v>
      </c>
      <c r="C12">
        <v>4.83</v>
      </c>
      <c r="D12">
        <v>0.21009346418806835</v>
      </c>
      <c r="E12">
        <v>0.21009346418806835</v>
      </c>
      <c r="F12">
        <v>0.74</v>
      </c>
      <c r="G12">
        <v>1.8926654100050386E-2</v>
      </c>
      <c r="H12">
        <v>1.8926654100050386E-2</v>
      </c>
      <c r="I12">
        <v>2.4300000000000002</v>
      </c>
      <c r="J12">
        <v>6.0631768052298016E-2</v>
      </c>
      <c r="K12">
        <v>0.12126353610459603</v>
      </c>
      <c r="L12">
        <v>0.49</v>
      </c>
      <c r="M12">
        <v>2.0160460810532813E-2</v>
      </c>
      <c r="N12">
        <v>4.0320921621065625E-2</v>
      </c>
      <c r="O12">
        <v>10.875</v>
      </c>
      <c r="P12">
        <v>0.30674673579163225</v>
      </c>
      <c r="Q12">
        <v>0.30674673579163225</v>
      </c>
      <c r="R12">
        <v>2.44</v>
      </c>
      <c r="S12">
        <v>3.9988763812922073E-2</v>
      </c>
      <c r="T12">
        <v>3.9988763812922073E-2</v>
      </c>
      <c r="U12">
        <v>3.9395000000000002</v>
      </c>
      <c r="V12">
        <v>4.1009289678921056E-2</v>
      </c>
      <c r="W12">
        <v>8.2018579357842111E-2</v>
      </c>
      <c r="X12">
        <v>0</v>
      </c>
      <c r="Y12">
        <v>0</v>
      </c>
      <c r="Z12">
        <v>0</v>
      </c>
      <c r="AA12">
        <v>7.0199999999999999E-2</v>
      </c>
      <c r="AB12">
        <v>1.2570057478467956E-3</v>
      </c>
      <c r="AC12">
        <v>3.1425143696169888E-3</v>
      </c>
      <c r="AD12">
        <v>1.2200000000000001E-2</v>
      </c>
      <c r="AE12">
        <v>2.220974188456942E-4</v>
      </c>
      <c r="AF12">
        <v>1.3325845130741651E-3</v>
      </c>
      <c r="AH12">
        <v>0</v>
      </c>
      <c r="AI12">
        <v>0</v>
      </c>
      <c r="AJ12">
        <v>0.39507967489647156</v>
      </c>
      <c r="AK12">
        <v>0.42875407896239642</v>
      </c>
      <c r="AL12">
        <v>-4.0875242011137205</v>
      </c>
      <c r="AN12">
        <v>53.7</v>
      </c>
      <c r="AO12">
        <v>0.53700000000000003</v>
      </c>
      <c r="AP12">
        <v>57.122297167901714</v>
      </c>
      <c r="AQ12">
        <v>7.4466971718663082</v>
      </c>
    </row>
    <row r="13" spans="1:43" x14ac:dyDescent="0.3">
      <c r="A13">
        <v>45</v>
      </c>
      <c r="B13" t="s">
        <v>31</v>
      </c>
      <c r="C13">
        <v>260</v>
      </c>
      <c r="D13">
        <v>11.309379024616515</v>
      </c>
      <c r="E13">
        <v>11.309379024616515</v>
      </c>
      <c r="F13">
        <v>25.55</v>
      </c>
      <c r="G13">
        <v>0.6534810976436316</v>
      </c>
      <c r="H13">
        <v>0.6534810976436316</v>
      </c>
      <c r="I13">
        <v>106.7</v>
      </c>
      <c r="J13">
        <v>2.6623084984280649</v>
      </c>
      <c r="K13">
        <v>5.3246169968561299</v>
      </c>
      <c r="L13">
        <v>56.98</v>
      </c>
      <c r="M13">
        <v>2.3443735856819585</v>
      </c>
      <c r="N13">
        <v>4.6887471713639171</v>
      </c>
      <c r="O13">
        <v>732.48099999999999</v>
      </c>
      <c r="P13">
        <v>20.660795933737063</v>
      </c>
      <c r="Q13">
        <v>20.660795933737063</v>
      </c>
      <c r="R13">
        <v>195.2</v>
      </c>
      <c r="S13">
        <v>3.1991011050337659</v>
      </c>
      <c r="T13">
        <v>3.1991011050337659</v>
      </c>
      <c r="U13">
        <v>50.021000000000001</v>
      </c>
      <c r="V13">
        <v>0.5207071148697322</v>
      </c>
      <c r="W13">
        <v>1.0414142297394644</v>
      </c>
      <c r="X13">
        <v>0</v>
      </c>
      <c r="Y13">
        <v>0</v>
      </c>
      <c r="Z13">
        <v>0</v>
      </c>
      <c r="AA13">
        <v>1.67E-2</v>
      </c>
      <c r="AB13">
        <v>2.9903128189517789E-4</v>
      </c>
      <c r="AC13">
        <v>7.4757820473794474E-4</v>
      </c>
      <c r="AD13">
        <v>6.7200000000000003E-3</v>
      </c>
      <c r="AE13">
        <v>1.2233562742975943E-4</v>
      </c>
      <c r="AF13">
        <v>7.3401376457855666E-4</v>
      </c>
      <c r="AG13">
        <v>2.27</v>
      </c>
      <c r="AH13">
        <v>2.8409090909090912E-2</v>
      </c>
      <c r="AI13">
        <v>2.8409090909090912E-2</v>
      </c>
      <c r="AJ13">
        <v>21.977705882449509</v>
      </c>
      <c r="AK13">
        <v>24.929720359419385</v>
      </c>
      <c r="AL13">
        <v>-6.2932774476868447</v>
      </c>
      <c r="AN13">
        <v>2710</v>
      </c>
      <c r="AO13">
        <v>27.1</v>
      </c>
      <c r="AP13">
        <v>76.239099386483616</v>
      </c>
      <c r="AQ13">
        <v>11.80480112558585</v>
      </c>
    </row>
    <row r="14" spans="1:43" x14ac:dyDescent="0.3">
      <c r="A14">
        <v>47</v>
      </c>
      <c r="B14" t="s">
        <v>32</v>
      </c>
      <c r="C14">
        <v>65.7</v>
      </c>
      <c r="D14">
        <v>2.8577930842973274</v>
      </c>
      <c r="E14">
        <v>2.8577930842973274</v>
      </c>
      <c r="F14">
        <v>11</v>
      </c>
      <c r="G14">
        <v>0.2813421555412895</v>
      </c>
      <c r="H14">
        <v>0.2813421555412895</v>
      </c>
      <c r="I14">
        <v>43.3</v>
      </c>
      <c r="J14">
        <v>1.080393233195269</v>
      </c>
      <c r="K14">
        <v>2.1607864663905381</v>
      </c>
      <c r="L14">
        <v>17.600000000000001</v>
      </c>
      <c r="M14">
        <v>0.72413083727628069</v>
      </c>
      <c r="N14">
        <v>1.4482616745525614</v>
      </c>
      <c r="O14">
        <v>68.359700000000004</v>
      </c>
      <c r="P14">
        <v>1.9281944675581832</v>
      </c>
      <c r="Q14">
        <v>1.9281944675581832</v>
      </c>
      <c r="R14">
        <v>212.28</v>
      </c>
      <c r="S14">
        <v>3.4790224517242208</v>
      </c>
      <c r="T14">
        <v>3.4790224517242208</v>
      </c>
      <c r="U14">
        <v>44.656999999999996</v>
      </c>
      <c r="V14">
        <v>0.46486910754958172</v>
      </c>
      <c r="W14">
        <v>0.92973821509916343</v>
      </c>
      <c r="X14">
        <v>2.8401999999999998</v>
      </c>
      <c r="Y14">
        <v>4.580602771327575E-2</v>
      </c>
      <c r="Z14">
        <v>4.580602771327575E-2</v>
      </c>
      <c r="AA14">
        <v>2.8299999999999999E-2</v>
      </c>
      <c r="AB14">
        <v>5.0674163339122955E-4</v>
      </c>
      <c r="AC14">
        <v>1.2668540834780738E-3</v>
      </c>
      <c r="AD14">
        <v>1.9800000000000002E-2</v>
      </c>
      <c r="AE14">
        <v>3.6045318796268405E-4</v>
      </c>
      <c r="AF14">
        <v>2.1627191277761044E-3</v>
      </c>
      <c r="AG14">
        <v>0.28000000000000003</v>
      </c>
      <c r="AH14">
        <v>3.5042050460552666E-3</v>
      </c>
      <c r="AI14">
        <v>3.5042050460552666E-3</v>
      </c>
      <c r="AJ14">
        <v>6.7516129539929706</v>
      </c>
      <c r="AK14">
        <v>6.3862653671408989</v>
      </c>
      <c r="AL14">
        <v>2.7808720549981487</v>
      </c>
      <c r="AN14">
        <v>679</v>
      </c>
      <c r="AO14">
        <v>6.79</v>
      </c>
      <c r="AP14">
        <v>28.397562114258957</v>
      </c>
      <c r="AQ14">
        <v>51.23744406073962</v>
      </c>
    </row>
    <row r="15" spans="1:43" x14ac:dyDescent="0.3">
      <c r="A15">
        <v>61</v>
      </c>
      <c r="B15" t="s">
        <v>33</v>
      </c>
      <c r="C15">
        <v>104.9</v>
      </c>
      <c r="D15">
        <v>4.5628994603164328</v>
      </c>
      <c r="E15">
        <v>4.5628994603164328</v>
      </c>
      <c r="F15">
        <v>10.9</v>
      </c>
      <c r="G15">
        <v>0.27878449958182322</v>
      </c>
      <c r="H15">
        <v>0.27878449958182322</v>
      </c>
      <c r="I15">
        <v>55.8</v>
      </c>
      <c r="J15">
        <v>1.3922850441638803</v>
      </c>
      <c r="K15">
        <v>2.7845700883277607</v>
      </c>
      <c r="L15">
        <v>16.2</v>
      </c>
      <c r="M15">
        <v>0.66652952067475824</v>
      </c>
      <c r="N15">
        <v>1.3330590413495165</v>
      </c>
      <c r="O15">
        <v>113.4</v>
      </c>
      <c r="P15">
        <v>3.1986280311513653</v>
      </c>
      <c r="Q15">
        <v>3.1986280311513653</v>
      </c>
      <c r="R15">
        <v>140.29999999999998</v>
      </c>
      <c r="S15">
        <v>2.299353919243019</v>
      </c>
      <c r="T15">
        <v>2.299353919243019</v>
      </c>
      <c r="U15">
        <v>120.9</v>
      </c>
      <c r="V15">
        <v>1.2585412164441059</v>
      </c>
      <c r="W15">
        <v>2.5170824328882118</v>
      </c>
      <c r="X15">
        <v>19.5</v>
      </c>
      <c r="Y15">
        <v>0.31449107119529507</v>
      </c>
      <c r="Z15">
        <v>0.31449107119529507</v>
      </c>
      <c r="AA15">
        <v>3.2399999999999998E-2</v>
      </c>
      <c r="AB15">
        <v>5.8015649900621338E-4</v>
      </c>
      <c r="AC15">
        <v>1.4503912475155333E-3</v>
      </c>
      <c r="AD15">
        <v>0.29699999999999999</v>
      </c>
      <c r="AE15">
        <v>5.4067978194402601E-3</v>
      </c>
      <c r="AF15">
        <v>3.2440786916641561E-2</v>
      </c>
      <c r="AH15">
        <v>0</v>
      </c>
      <c r="AI15">
        <v>0</v>
      </c>
      <c r="AJ15">
        <v>8.9932042677396886</v>
      </c>
      <c r="AK15">
        <v>8.3295554544778909</v>
      </c>
      <c r="AL15">
        <v>3.8310801737359692</v>
      </c>
      <c r="AN15">
        <v>1005</v>
      </c>
      <c r="AO15">
        <v>10.050000000000001</v>
      </c>
      <c r="AP15">
        <v>31.8271445885708</v>
      </c>
      <c r="AQ15">
        <v>22.879143475054914</v>
      </c>
    </row>
    <row r="16" spans="1:43" x14ac:dyDescent="0.3">
      <c r="A16">
        <v>14</v>
      </c>
      <c r="B16" t="s">
        <v>34</v>
      </c>
      <c r="C16">
        <v>1064</v>
      </c>
      <c r="D16">
        <v>46.281458777661435</v>
      </c>
      <c r="E16">
        <v>46.281458777661435</v>
      </c>
      <c r="F16">
        <v>17.829999999999998</v>
      </c>
      <c r="G16">
        <v>0.4560300575728356</v>
      </c>
      <c r="H16">
        <v>0.4560300575728356</v>
      </c>
      <c r="I16">
        <v>271</v>
      </c>
      <c r="J16">
        <v>6.7618144617994904</v>
      </c>
      <c r="K16">
        <v>13.523628923598981</v>
      </c>
      <c r="L16">
        <v>366</v>
      </c>
      <c r="M16">
        <v>15.058629911540836</v>
      </c>
      <c r="N16">
        <v>30.117259823081671</v>
      </c>
      <c r="O16">
        <v>2094.48</v>
      </c>
      <c r="P16">
        <v>59.078152016630611</v>
      </c>
      <c r="Q16">
        <v>59.078152016630611</v>
      </c>
      <c r="R16">
        <v>414.8</v>
      </c>
      <c r="S16">
        <v>6.7980898481967529</v>
      </c>
      <c r="T16">
        <v>6.7980898481967529</v>
      </c>
      <c r="U16">
        <v>242.26999999999998</v>
      </c>
      <c r="V16">
        <v>2.5219750248793509</v>
      </c>
      <c r="W16">
        <v>5.0439500497587018</v>
      </c>
      <c r="X16">
        <v>24.9</v>
      </c>
      <c r="Y16">
        <v>0.40158090629553062</v>
      </c>
      <c r="Z16">
        <v>0.40158090629553062</v>
      </c>
      <c r="AA16">
        <v>1.4800000000000001E-2</v>
      </c>
      <c r="AB16">
        <v>2.6500975880530735E-4</v>
      </c>
      <c r="AC16">
        <v>6.6252439701326834E-4</v>
      </c>
      <c r="AD16">
        <v>2.8400000000000002E-2</v>
      </c>
      <c r="AE16">
        <v>5.1701366354243571E-4</v>
      </c>
      <c r="AF16">
        <v>3.1020819812546145E-3</v>
      </c>
      <c r="AG16">
        <v>7.22</v>
      </c>
      <c r="AH16">
        <v>9.0358430116139365E-2</v>
      </c>
      <c r="AI16">
        <v>9.0358430116139365E-2</v>
      </c>
      <c r="AJ16">
        <v>90.382142188293187</v>
      </c>
      <c r="AK16">
        <v>71.412131250997732</v>
      </c>
      <c r="AL16">
        <v>11.724772783391161</v>
      </c>
      <c r="AN16">
        <v>9200</v>
      </c>
      <c r="AO16">
        <v>92</v>
      </c>
      <c r="AP16">
        <v>64.215382626772396</v>
      </c>
      <c r="AQ16">
        <v>7.3892280958660361</v>
      </c>
    </row>
    <row r="17" spans="1:43" x14ac:dyDescent="0.3">
      <c r="A17">
        <v>23</v>
      </c>
      <c r="B17" t="s">
        <v>36</v>
      </c>
      <c r="C17">
        <v>278.60000000000002</v>
      </c>
      <c r="D17">
        <v>12.118434600992929</v>
      </c>
      <c r="E17">
        <v>12.118434600992929</v>
      </c>
      <c r="F17">
        <v>12.19</v>
      </c>
      <c r="G17">
        <v>0.31177826145893811</v>
      </c>
      <c r="H17">
        <v>0.31177826145893811</v>
      </c>
      <c r="I17">
        <v>135</v>
      </c>
      <c r="J17">
        <v>3.3684315584610007</v>
      </c>
      <c r="K17">
        <v>6.7368631169220015</v>
      </c>
      <c r="L17">
        <v>70.25</v>
      </c>
      <c r="M17">
        <v>2.890351779469245</v>
      </c>
      <c r="N17">
        <v>5.7807035589384901</v>
      </c>
      <c r="O17">
        <v>770.947</v>
      </c>
      <c r="P17">
        <v>21.745790870653011</v>
      </c>
      <c r="Q17">
        <v>21.745790870653011</v>
      </c>
      <c r="R17">
        <v>207.4</v>
      </c>
      <c r="S17">
        <v>3.3990449240983764</v>
      </c>
      <c r="T17">
        <v>3.3990449240983764</v>
      </c>
      <c r="U17">
        <v>141.11500000000001</v>
      </c>
      <c r="V17">
        <v>1.4689747209140613</v>
      </c>
      <c r="W17">
        <v>2.9379494418281227</v>
      </c>
      <c r="X17">
        <v>0</v>
      </c>
      <c r="Y17">
        <v>0</v>
      </c>
      <c r="Z17">
        <v>0</v>
      </c>
      <c r="AA17">
        <v>2.9399999999999999E-2</v>
      </c>
      <c r="AB17">
        <v>5.264383046537862E-4</v>
      </c>
      <c r="AC17">
        <v>1.3160957616344655E-3</v>
      </c>
      <c r="AD17">
        <v>5.45E-2</v>
      </c>
      <c r="AE17">
        <v>9.9215650222051898E-4</v>
      </c>
      <c r="AF17">
        <v>5.9529390133231143E-3</v>
      </c>
      <c r="AG17">
        <v>2.2000000000000002</v>
      </c>
      <c r="AH17">
        <v>2.7533039647577095E-2</v>
      </c>
      <c r="AI17">
        <v>2.7533039647577095E-2</v>
      </c>
      <c r="AJ17">
        <v>24.955048573087318</v>
      </c>
      <c r="AK17">
        <v>28.110318276227087</v>
      </c>
      <c r="AL17">
        <v>-5.9460056350868982</v>
      </c>
      <c r="AN17">
        <v>3020</v>
      </c>
      <c r="AO17">
        <v>30.2</v>
      </c>
      <c r="AP17">
        <v>72.005930035274872</v>
      </c>
      <c r="AQ17">
        <v>11.255115642709857</v>
      </c>
    </row>
    <row r="18" spans="1:43" x14ac:dyDescent="0.3">
      <c r="A18">
        <v>27</v>
      </c>
      <c r="B18" t="s">
        <v>37</v>
      </c>
      <c r="C18">
        <v>6.77</v>
      </c>
      <c r="D18">
        <v>0.29447883075636078</v>
      </c>
      <c r="E18">
        <v>0.29447883075636078</v>
      </c>
      <c r="F18">
        <v>2.77</v>
      </c>
      <c r="G18">
        <v>7.0847070077215635E-2</v>
      </c>
      <c r="H18">
        <v>7.0847070077215635E-2</v>
      </c>
      <c r="I18">
        <v>7.91</v>
      </c>
      <c r="J18">
        <v>0.19736513798093716</v>
      </c>
      <c r="K18">
        <v>0.39473027596187432</v>
      </c>
      <c r="L18">
        <v>1.99</v>
      </c>
      <c r="M18">
        <v>8.1876157169306726E-2</v>
      </c>
      <c r="N18">
        <v>0.16375231433861345</v>
      </c>
      <c r="O18">
        <v>11.576500000000001</v>
      </c>
      <c r="P18">
        <v>0.32653366316246718</v>
      </c>
      <c r="Q18">
        <v>0.32653366316246718</v>
      </c>
      <c r="R18">
        <v>45.1</v>
      </c>
      <c r="S18">
        <v>0.73913657703392854</v>
      </c>
      <c r="T18">
        <v>0.73913657703392854</v>
      </c>
      <c r="U18">
        <v>8.6999999999999994E-2</v>
      </c>
      <c r="V18">
        <v>9.0565000687044836E-4</v>
      </c>
      <c r="W18">
        <v>1.8113000137408967E-3</v>
      </c>
      <c r="X18">
        <v>0</v>
      </c>
      <c r="Y18">
        <v>0</v>
      </c>
      <c r="Z18">
        <v>0</v>
      </c>
      <c r="AA18">
        <v>3</v>
      </c>
      <c r="AB18">
        <v>5.3718194352427168E-2</v>
      </c>
      <c r="AC18">
        <v>0.13429548588106793</v>
      </c>
      <c r="AD18">
        <v>0.66700000000000004</v>
      </c>
      <c r="AE18">
        <v>1.2142539210662133E-2</v>
      </c>
      <c r="AF18">
        <v>7.2855235263972792E-2</v>
      </c>
      <c r="AH18">
        <v>0</v>
      </c>
      <c r="AI18">
        <v>0</v>
      </c>
      <c r="AJ18">
        <v>1.130959212279105</v>
      </c>
      <c r="AK18">
        <v>1.0674815402101365</v>
      </c>
      <c r="AL18">
        <v>2.887395168466298</v>
      </c>
      <c r="AN18">
        <v>118.3</v>
      </c>
      <c r="AO18">
        <v>1.1830000000000001</v>
      </c>
      <c r="AP18">
        <v>27.602169329033572</v>
      </c>
      <c r="AQ18">
        <v>62.4798459031216</v>
      </c>
    </row>
    <row r="19" spans="1:43" x14ac:dyDescent="0.3">
      <c r="A19">
        <v>29</v>
      </c>
      <c r="B19" t="s">
        <v>38</v>
      </c>
      <c r="C19">
        <v>18.18</v>
      </c>
      <c r="D19">
        <v>0.79078657949049325</v>
      </c>
      <c r="E19">
        <v>0.79078657949049325</v>
      </c>
      <c r="F19">
        <v>3.85</v>
      </c>
      <c r="G19">
        <v>9.8469754439451329E-2</v>
      </c>
      <c r="H19">
        <v>9.8469754439451329E-2</v>
      </c>
      <c r="I19">
        <v>4.05</v>
      </c>
      <c r="J19">
        <v>0.10105294675383002</v>
      </c>
      <c r="K19">
        <v>0.20210589350766003</v>
      </c>
      <c r="L19">
        <v>2.38</v>
      </c>
      <c r="M19">
        <v>9.7922238222587943E-2</v>
      </c>
      <c r="N19">
        <v>0.19584447644517589</v>
      </c>
      <c r="O19">
        <v>37.957000000000001</v>
      </c>
      <c r="P19">
        <v>1.0706377793510791</v>
      </c>
      <c r="Q19">
        <v>1.0706377793510791</v>
      </c>
      <c r="R19">
        <v>12.2</v>
      </c>
      <c r="S19">
        <v>0.19994381906461037</v>
      </c>
      <c r="T19">
        <v>0.19994381906461037</v>
      </c>
      <c r="U19">
        <v>5.0437000000000003</v>
      </c>
      <c r="V19">
        <v>5.2503757927040012E-2</v>
      </c>
      <c r="W19">
        <v>0.10500751585408002</v>
      </c>
      <c r="X19">
        <v>0.4677</v>
      </c>
      <c r="Y19">
        <v>7.5429473845148474E-3</v>
      </c>
      <c r="Z19">
        <v>7.5429473845148474E-3</v>
      </c>
      <c r="AA19">
        <v>2.8799999999999999E-2</v>
      </c>
      <c r="AB19">
        <v>5.156946657833008E-4</v>
      </c>
      <c r="AC19">
        <v>1.2892366644582519E-3</v>
      </c>
      <c r="AD19">
        <v>8.6999999999999994E-3</v>
      </c>
      <c r="AE19">
        <v>1.583809462260278E-4</v>
      </c>
      <c r="AF19">
        <v>9.5028567735616675E-4</v>
      </c>
      <c r="AH19">
        <v>0</v>
      </c>
      <c r="AI19">
        <v>0</v>
      </c>
      <c r="AJ19">
        <v>1.2894462262245949</v>
      </c>
      <c r="AK19">
        <v>1.3831320616542844</v>
      </c>
      <c r="AL19">
        <v>-3.5054477488868705</v>
      </c>
      <c r="AN19">
        <v>162.5</v>
      </c>
      <c r="AO19">
        <v>1.625</v>
      </c>
      <c r="AP19">
        <v>65.885401806220244</v>
      </c>
      <c r="AQ19">
        <v>12.304235019360638</v>
      </c>
    </row>
    <row r="20" spans="1:43" x14ac:dyDescent="0.3">
      <c r="A20">
        <v>31</v>
      </c>
      <c r="B20" t="s">
        <v>39</v>
      </c>
      <c r="C20">
        <v>24.23</v>
      </c>
      <c r="D20">
        <v>1.053947129870993</v>
      </c>
      <c r="E20">
        <v>1.053947129870993</v>
      </c>
      <c r="F20">
        <v>2.87</v>
      </c>
      <c r="G20">
        <v>7.3404726036681897E-2</v>
      </c>
      <c r="H20">
        <v>7.3404726036681897E-2</v>
      </c>
      <c r="I20">
        <v>5.63</v>
      </c>
      <c r="J20">
        <v>0.14047607166026246</v>
      </c>
      <c r="K20">
        <v>0.28095214332052493</v>
      </c>
      <c r="L20">
        <v>2.77</v>
      </c>
      <c r="M20">
        <v>0.11396831927586916</v>
      </c>
      <c r="N20">
        <v>0.22793663855173832</v>
      </c>
      <c r="O20">
        <v>32.456000000000003</v>
      </c>
      <c r="P20">
        <v>0.91547329258420385</v>
      </c>
      <c r="Q20">
        <v>0.91547329258420385</v>
      </c>
      <c r="R20">
        <v>64.66</v>
      </c>
      <c r="S20">
        <v>1.059702241042435</v>
      </c>
      <c r="T20">
        <v>1.059702241042435</v>
      </c>
      <c r="U20">
        <v>0.25650000000000001</v>
      </c>
      <c r="V20">
        <v>2.6701060547387359E-3</v>
      </c>
      <c r="W20">
        <v>5.3402121094774718E-3</v>
      </c>
      <c r="X20">
        <v>9.0500000000000011E-2</v>
      </c>
      <c r="Y20">
        <v>1.4595611252909851E-3</v>
      </c>
      <c r="Z20">
        <v>1.4595611252909851E-3</v>
      </c>
      <c r="AA20">
        <v>1.3</v>
      </c>
      <c r="AB20">
        <v>2.3277884219385106E-2</v>
      </c>
      <c r="AC20">
        <v>5.8194710548462765E-2</v>
      </c>
      <c r="AD20">
        <v>7.8899999999999998E-2</v>
      </c>
      <c r="AE20">
        <v>1.4363513399119074E-3</v>
      </c>
      <c r="AF20">
        <v>8.6181080394714445E-3</v>
      </c>
      <c r="AH20">
        <v>0</v>
      </c>
      <c r="AI20">
        <v>0</v>
      </c>
      <c r="AJ20">
        <v>1.7030534563678725</v>
      </c>
      <c r="AK20">
        <v>1.9819753068614072</v>
      </c>
      <c r="AL20">
        <v>-7.5690549087901484</v>
      </c>
      <c r="AN20">
        <v>200</v>
      </c>
      <c r="AO20">
        <v>2</v>
      </c>
      <c r="AP20">
        <v>45.773664629210195</v>
      </c>
      <c r="AQ20">
        <v>52.98511205212175</v>
      </c>
    </row>
    <row r="21" spans="1:43" x14ac:dyDescent="0.3">
      <c r="A21">
        <v>46</v>
      </c>
      <c r="B21" t="s">
        <v>40</v>
      </c>
      <c r="C21">
        <v>144.1</v>
      </c>
      <c r="D21">
        <v>6.2680058363355382</v>
      </c>
      <c r="E21">
        <v>6.2680058363355382</v>
      </c>
      <c r="F21">
        <v>14.7</v>
      </c>
      <c r="G21">
        <v>0.37597542604154144</v>
      </c>
      <c r="H21">
        <v>0.37597542604154144</v>
      </c>
      <c r="I21">
        <v>55.3</v>
      </c>
      <c r="J21">
        <v>1.3798093717251358</v>
      </c>
      <c r="K21">
        <v>2.7596187434502717</v>
      </c>
      <c r="L21">
        <v>22.2</v>
      </c>
      <c r="M21">
        <v>0.91339230610985389</v>
      </c>
      <c r="N21">
        <v>1.8267846122197078</v>
      </c>
      <c r="O21">
        <v>260.471</v>
      </c>
      <c r="P21">
        <v>7.3470003695064126</v>
      </c>
      <c r="Q21">
        <v>7.3470003695064126</v>
      </c>
      <c r="R21">
        <v>190.32</v>
      </c>
      <c r="S21">
        <v>3.1191235774079216</v>
      </c>
      <c r="T21">
        <v>3.1191235774079216</v>
      </c>
      <c r="U21">
        <v>9.347999999999999</v>
      </c>
      <c r="V21">
        <v>9.7310531772700576E-2</v>
      </c>
      <c r="W21">
        <v>0.19462106354540115</v>
      </c>
      <c r="X21">
        <v>0</v>
      </c>
      <c r="Y21">
        <v>0</v>
      </c>
      <c r="Z21">
        <v>0</v>
      </c>
      <c r="AA21">
        <v>4.3499999999999997E-2</v>
      </c>
      <c r="AB21">
        <v>7.7891381811019385E-4</v>
      </c>
      <c r="AC21">
        <v>1.9472845452754846E-3</v>
      </c>
      <c r="AD21">
        <v>1.9099999999999999E-2</v>
      </c>
      <c r="AE21">
        <v>3.4770989343875069E-4</v>
      </c>
      <c r="AF21">
        <v>2.0862593606325039E-3</v>
      </c>
      <c r="AG21">
        <v>0.84</v>
      </c>
      <c r="AH21">
        <v>1.0512615138165799E-2</v>
      </c>
      <c r="AI21">
        <v>1.0512615138165799E-2</v>
      </c>
      <c r="AJ21">
        <v>11.234418161952966</v>
      </c>
      <c r="AK21">
        <v>10.671257625597901</v>
      </c>
      <c r="AL21">
        <v>2.5708430172015637</v>
      </c>
      <c r="AN21">
        <v>1230</v>
      </c>
      <c r="AO21">
        <v>12.3</v>
      </c>
      <c r="AP21">
        <v>59.731710321190349</v>
      </c>
      <c r="AQ21">
        <v>25.358728271609117</v>
      </c>
    </row>
    <row r="22" spans="1:43" x14ac:dyDescent="0.3">
      <c r="A22">
        <v>48</v>
      </c>
      <c r="B22" t="s">
        <v>41</v>
      </c>
      <c r="C22">
        <v>136.6</v>
      </c>
      <c r="D22">
        <v>5.9417737490869849</v>
      </c>
      <c r="E22">
        <v>5.9417737490869849</v>
      </c>
      <c r="F22">
        <v>15.7</v>
      </c>
      <c r="G22">
        <v>0.40155198563620409</v>
      </c>
      <c r="H22">
        <v>0.40155198563620409</v>
      </c>
      <c r="I22">
        <v>53.1</v>
      </c>
      <c r="J22">
        <v>1.3249164129946605</v>
      </c>
      <c r="K22">
        <v>2.6498328259893209</v>
      </c>
      <c r="L22">
        <v>28.9</v>
      </c>
      <c r="M22">
        <v>1.1890557498457106</v>
      </c>
      <c r="N22">
        <v>2.3781114996914212</v>
      </c>
      <c r="O22">
        <v>156.447</v>
      </c>
      <c r="P22">
        <v>4.412837386151125</v>
      </c>
      <c r="Q22">
        <v>4.412837386151125</v>
      </c>
      <c r="R22">
        <v>287.92</v>
      </c>
      <c r="S22">
        <v>4.7186741299248052</v>
      </c>
      <c r="T22">
        <v>4.7186741299248052</v>
      </c>
      <c r="U22">
        <v>77.263000000000005</v>
      </c>
      <c r="V22">
        <v>0.8042900744923156</v>
      </c>
      <c r="W22">
        <v>1.6085801489846312</v>
      </c>
      <c r="X22">
        <v>2.4449999999999998</v>
      </c>
      <c r="Y22">
        <v>3.9432342003717764E-2</v>
      </c>
      <c r="Z22">
        <v>3.9432342003717764E-2</v>
      </c>
      <c r="AA22">
        <v>9.3500000000000007E-3</v>
      </c>
      <c r="AB22">
        <v>1.6742170573173134E-4</v>
      </c>
      <c r="AC22">
        <v>4.1855426432932835E-4</v>
      </c>
      <c r="AD22">
        <v>2.8E-3</v>
      </c>
      <c r="AE22">
        <v>5.0973178095733088E-5</v>
      </c>
      <c r="AF22">
        <v>3.0583906857439852E-4</v>
      </c>
      <c r="AG22">
        <v>0.4</v>
      </c>
      <c r="AH22">
        <v>5.0060072086503806E-3</v>
      </c>
      <c r="AI22">
        <v>5.0060072086503806E-3</v>
      </c>
      <c r="AJ22">
        <v>11.371994453736836</v>
      </c>
      <c r="AK22">
        <v>10.78453001427293</v>
      </c>
      <c r="AL22">
        <v>2.6514286584617737</v>
      </c>
      <c r="AN22">
        <v>1182</v>
      </c>
      <c r="AO22">
        <v>11.82</v>
      </c>
      <c r="AP22">
        <v>37.33364962902813</v>
      </c>
      <c r="AQ22">
        <v>39.92110092998989</v>
      </c>
    </row>
    <row r="23" spans="1:43" x14ac:dyDescent="0.3">
      <c r="A23">
        <v>68</v>
      </c>
      <c r="B23" t="s">
        <v>42</v>
      </c>
      <c r="C23">
        <v>286</v>
      </c>
      <c r="D23">
        <v>12.440316927078166</v>
      </c>
      <c r="E23">
        <v>12.440316927078166</v>
      </c>
      <c r="F23">
        <v>12.98</v>
      </c>
      <c r="G23">
        <v>0.33198374353872162</v>
      </c>
      <c r="H23">
        <v>0.33198374353872162</v>
      </c>
      <c r="I23">
        <v>234</v>
      </c>
      <c r="J23">
        <v>5.8386147013324017</v>
      </c>
      <c r="K23">
        <v>11.677229402664803</v>
      </c>
      <c r="L23">
        <v>116</v>
      </c>
      <c r="M23">
        <v>4.7726805184118497</v>
      </c>
      <c r="N23">
        <v>9.5453610368236994</v>
      </c>
      <c r="O23">
        <v>946.56000000000006</v>
      </c>
      <c r="P23">
        <v>26.699235883303672</v>
      </c>
      <c r="Q23">
        <v>26.699235883303672</v>
      </c>
      <c r="R23">
        <v>237.9</v>
      </c>
      <c r="S23">
        <v>3.8989044717599026</v>
      </c>
      <c r="T23">
        <v>3.8989044717599026</v>
      </c>
      <c r="U23">
        <v>46.940999999999995</v>
      </c>
      <c r="V23">
        <v>0.48864502267247945</v>
      </c>
      <c r="W23">
        <v>0.97729004534495889</v>
      </c>
      <c r="X23">
        <v>0</v>
      </c>
      <c r="Y23">
        <v>0</v>
      </c>
      <c r="Z23">
        <v>0</v>
      </c>
      <c r="AA23">
        <v>0.44700000000000001</v>
      </c>
      <c r="AB23">
        <v>8.0040109585116474E-3</v>
      </c>
      <c r="AC23">
        <v>2.001002739627912E-2</v>
      </c>
      <c r="AD23">
        <v>1.71</v>
      </c>
      <c r="AE23">
        <v>3.1130048051322707E-2</v>
      </c>
      <c r="AF23">
        <v>0.18678028830793625</v>
      </c>
      <c r="AG23">
        <v>2.73</v>
      </c>
      <c r="AH23">
        <v>3.416599919903885E-2</v>
      </c>
      <c r="AI23">
        <v>3.416599919903885E-2</v>
      </c>
      <c r="AJ23">
        <v>34.201681425809603</v>
      </c>
      <c r="AK23">
        <v>31.609596399607572</v>
      </c>
      <c r="AL23">
        <v>3.938663876240577</v>
      </c>
      <c r="AN23">
        <v>3900</v>
      </c>
      <c r="AO23">
        <v>39</v>
      </c>
      <c r="AP23">
        <v>68.459579187958127</v>
      </c>
      <c r="AQ23">
        <v>9.9971909532305201</v>
      </c>
    </row>
    <row r="25" spans="1:43" x14ac:dyDescent="0.3">
      <c r="A25" t="s">
        <v>146</v>
      </c>
    </row>
    <row r="42" spans="1:14" x14ac:dyDescent="0.3">
      <c r="A42" t="s">
        <v>147</v>
      </c>
    </row>
    <row r="44" spans="1:14" x14ac:dyDescent="0.3">
      <c r="L44" t="s">
        <v>148</v>
      </c>
    </row>
    <row r="45" spans="1:14" x14ac:dyDescent="0.3">
      <c r="L45">
        <v>566</v>
      </c>
      <c r="M45">
        <v>200</v>
      </c>
      <c r="N45">
        <v>0</v>
      </c>
    </row>
    <row r="46" spans="1:14" x14ac:dyDescent="0.3">
      <c r="L46">
        <v>29.3</v>
      </c>
      <c r="M46">
        <f>L46*M45/L45</f>
        <v>10.353356890459365</v>
      </c>
      <c r="N46">
        <v>0</v>
      </c>
    </row>
    <row r="60" spans="1:2" x14ac:dyDescent="0.3">
      <c r="A60" t="s">
        <v>149</v>
      </c>
      <c r="B60" t="s">
        <v>152</v>
      </c>
    </row>
    <row r="61" spans="1:2" x14ac:dyDescent="0.3">
      <c r="B61" t="s">
        <v>153</v>
      </c>
    </row>
    <row r="62" spans="1:2" x14ac:dyDescent="0.3">
      <c r="B62" s="53" t="s">
        <v>150</v>
      </c>
    </row>
    <row r="63" spans="1:2" x14ac:dyDescent="0.3">
      <c r="B63" t="s">
        <v>151</v>
      </c>
    </row>
    <row r="64" spans="1:2" x14ac:dyDescent="0.3">
      <c r="B64" t="s">
        <v>154</v>
      </c>
    </row>
    <row r="65" spans="2:2" x14ac:dyDescent="0.3">
      <c r="B65" t="s">
        <v>155</v>
      </c>
    </row>
    <row r="66" spans="2:2" x14ac:dyDescent="0.3">
      <c r="B66" s="48" t="s">
        <v>157</v>
      </c>
    </row>
    <row r="67" spans="2:2" x14ac:dyDescent="0.3">
      <c r="B67" t="s">
        <v>156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workbookViewId="0">
      <selection activeCell="D77" sqref="D77"/>
    </sheetView>
  </sheetViews>
  <sheetFormatPr defaultRowHeight="14.4" x14ac:dyDescent="0.3"/>
  <sheetData>
    <row r="1" spans="1:8" x14ac:dyDescent="0.3">
      <c r="A1" s="1" t="s">
        <v>0</v>
      </c>
    </row>
    <row r="2" spans="1:8" x14ac:dyDescent="0.3">
      <c r="A2" s="8">
        <v>58</v>
      </c>
    </row>
    <row r="3" spans="1:8" x14ac:dyDescent="0.3">
      <c r="A3" s="8">
        <v>67</v>
      </c>
    </row>
    <row r="4" spans="1:8" x14ac:dyDescent="0.3">
      <c r="A4" s="8">
        <v>45</v>
      </c>
    </row>
    <row r="5" spans="1:8" x14ac:dyDescent="0.3">
      <c r="A5" s="8">
        <v>14</v>
      </c>
    </row>
    <row r="6" spans="1:8" x14ac:dyDescent="0.3">
      <c r="A6" s="8">
        <v>23</v>
      </c>
    </row>
    <row r="7" spans="1:8" x14ac:dyDescent="0.3">
      <c r="A7" s="8">
        <v>68</v>
      </c>
    </row>
    <row r="9" spans="1:8" x14ac:dyDescent="0.3">
      <c r="A9" t="s">
        <v>158</v>
      </c>
    </row>
    <row r="10" spans="1:8" x14ac:dyDescent="0.3">
      <c r="B10" t="s">
        <v>159</v>
      </c>
      <c r="E10" t="s">
        <v>162</v>
      </c>
    </row>
    <row r="11" spans="1:8" x14ac:dyDescent="0.3">
      <c r="A11" s="8">
        <v>10</v>
      </c>
      <c r="B11">
        <v>2.7187774132858711</v>
      </c>
      <c r="C11" t="s">
        <v>160</v>
      </c>
      <c r="E11">
        <v>566</v>
      </c>
    </row>
    <row r="12" spans="1:8" x14ac:dyDescent="0.3">
      <c r="B12" t="s">
        <v>161</v>
      </c>
    </row>
    <row r="13" spans="1:8" x14ac:dyDescent="0.3">
      <c r="A13" s="1" t="s">
        <v>0</v>
      </c>
      <c r="B13" t="s">
        <v>159</v>
      </c>
      <c r="C13" t="s">
        <v>163</v>
      </c>
      <c r="D13" t="s">
        <v>164</v>
      </c>
      <c r="E13" t="s">
        <v>165</v>
      </c>
      <c r="F13" t="s">
        <v>166</v>
      </c>
      <c r="G13" t="s">
        <v>167</v>
      </c>
      <c r="H13" t="s">
        <v>168</v>
      </c>
    </row>
    <row r="14" spans="1:8" x14ac:dyDescent="0.3">
      <c r="A14" s="8">
        <v>58</v>
      </c>
      <c r="B14">
        <v>185.40477876156118</v>
      </c>
      <c r="C14">
        <f>(B14-B$11)/(E$11-B$11)*100</f>
        <v>32.432467837173782</v>
      </c>
      <c r="D14">
        <v>90.344539362032705</v>
      </c>
      <c r="E14">
        <f>D14/B14*100</f>
        <v>48.728269015233863</v>
      </c>
      <c r="F14">
        <v>21.03398373172314</v>
      </c>
      <c r="G14">
        <v>6.9991808858953402</v>
      </c>
      <c r="H14">
        <f>F14/G14*100</f>
        <v>300.52064769622621</v>
      </c>
    </row>
    <row r="15" spans="1:8" x14ac:dyDescent="0.3">
      <c r="A15" s="8">
        <v>67</v>
      </c>
      <c r="B15">
        <v>152.5074253865009</v>
      </c>
      <c r="C15">
        <f t="shared" ref="C15:C19" si="0">(B15-B$11)/(E$11-B$11)*100</f>
        <v>26.592160712432751</v>
      </c>
      <c r="D15">
        <v>80.949055249274366</v>
      </c>
      <c r="E15">
        <f t="shared" ref="E15:E19" si="1">D15/B15*100</f>
        <v>53.078763243248304</v>
      </c>
      <c r="F15">
        <v>14.646439443085981</v>
      </c>
      <c r="G15">
        <v>6.3382190643481495</v>
      </c>
      <c r="H15">
        <f t="shared" ref="H15:H19" si="2">F15/G15*100</f>
        <v>231.08130682119753</v>
      </c>
    </row>
    <row r="16" spans="1:8" x14ac:dyDescent="0.3">
      <c r="A16" s="8">
        <v>45</v>
      </c>
      <c r="B16">
        <v>20.660795933737063</v>
      </c>
      <c r="C16">
        <f t="shared" si="0"/>
        <v>3.1852683528233743</v>
      </c>
      <c r="D16">
        <v>11.309379024616515</v>
      </c>
      <c r="E16">
        <f t="shared" si="1"/>
        <v>54.738351130749052</v>
      </c>
      <c r="F16">
        <v>2.6623084984280649</v>
      </c>
      <c r="G16">
        <v>3.1991011050337659</v>
      </c>
      <c r="H16">
        <f t="shared" si="2"/>
        <v>83.220517608491306</v>
      </c>
    </row>
    <row r="17" spans="1:15" x14ac:dyDescent="0.3">
      <c r="A17" s="8">
        <v>14</v>
      </c>
      <c r="B17">
        <v>59.078152016630611</v>
      </c>
      <c r="C17">
        <f t="shared" si="0"/>
        <v>10.005548266730749</v>
      </c>
      <c r="D17">
        <v>46.281458777661435</v>
      </c>
      <c r="E17">
        <f t="shared" si="1"/>
        <v>78.33938130737927</v>
      </c>
      <c r="F17">
        <v>6.7618144617994904</v>
      </c>
      <c r="G17">
        <v>6.7980898481967529</v>
      </c>
      <c r="H17">
        <f t="shared" si="2"/>
        <v>99.466388541379985</v>
      </c>
    </row>
    <row r="18" spans="1:15" x14ac:dyDescent="0.3">
      <c r="A18" s="8">
        <v>23</v>
      </c>
      <c r="B18">
        <v>21.745790870653011</v>
      </c>
      <c r="C18">
        <f t="shared" si="0"/>
        <v>3.377888822565541</v>
      </c>
      <c r="D18">
        <v>12.118434600992929</v>
      </c>
      <c r="E18">
        <f t="shared" si="1"/>
        <v>55.727725301301135</v>
      </c>
      <c r="F18">
        <v>3.3684315584610007</v>
      </c>
      <c r="G18">
        <v>3.3990449240983764</v>
      </c>
      <c r="H18">
        <f t="shared" si="2"/>
        <v>99.099353897315851</v>
      </c>
    </row>
    <row r="19" spans="1:15" x14ac:dyDescent="0.3">
      <c r="A19" s="8">
        <v>68</v>
      </c>
      <c r="B19">
        <v>26.699235883303672</v>
      </c>
      <c r="C19">
        <f t="shared" si="0"/>
        <v>4.2572799355700406</v>
      </c>
      <c r="D19">
        <v>12.440316927078166</v>
      </c>
      <c r="E19">
        <f t="shared" si="1"/>
        <v>46.594280755644021</v>
      </c>
      <c r="F19">
        <v>5.8386147013324017</v>
      </c>
      <c r="G19">
        <v>3.8989044717599026</v>
      </c>
      <c r="H19">
        <f t="shared" si="2"/>
        <v>149.75013477816617</v>
      </c>
    </row>
    <row r="21" spans="1:15" x14ac:dyDescent="0.3">
      <c r="A21" t="s">
        <v>169</v>
      </c>
      <c r="L21" t="s">
        <v>160</v>
      </c>
    </row>
    <row r="22" spans="1:15" x14ac:dyDescent="0.3">
      <c r="A22" t="s">
        <v>0</v>
      </c>
      <c r="B22" t="s">
        <v>163</v>
      </c>
      <c r="C22" t="s">
        <v>164</v>
      </c>
      <c r="D22" t="s">
        <v>166</v>
      </c>
      <c r="E22" t="s">
        <v>167</v>
      </c>
      <c r="F22" t="s">
        <v>170</v>
      </c>
      <c r="L22" t="s">
        <v>164</v>
      </c>
      <c r="M22" t="s">
        <v>166</v>
      </c>
      <c r="N22" t="s">
        <v>167</v>
      </c>
      <c r="O22" t="s">
        <v>170</v>
      </c>
    </row>
    <row r="23" spans="1:15" x14ac:dyDescent="0.3">
      <c r="A23">
        <v>58</v>
      </c>
      <c r="B23">
        <v>32.432467837173782</v>
      </c>
      <c r="C23">
        <f>$B23/100*L$26+(100-$B23)/100*L$23</f>
        <v>160.59799551490366</v>
      </c>
      <c r="D23">
        <f t="shared" ref="D23:F23" si="3">$B23/100*M$26+(100-$B23)/100*M$23</f>
        <v>3.9018646627415627</v>
      </c>
      <c r="E23">
        <f t="shared" si="3"/>
        <v>3.5861137908621741</v>
      </c>
      <c r="F23">
        <f t="shared" si="3"/>
        <v>9.6269268906810854</v>
      </c>
      <c r="L23">
        <v>4.884781786401672</v>
      </c>
      <c r="M23">
        <v>0.6387544288637157</v>
      </c>
      <c r="N23">
        <v>4.1554493303142142</v>
      </c>
      <c r="O23">
        <v>0.1838365416245071</v>
      </c>
    </row>
    <row r="24" spans="1:15" x14ac:dyDescent="0.3">
      <c r="A24">
        <v>67</v>
      </c>
      <c r="B24">
        <v>26.592160712432751</v>
      </c>
      <c r="C24">
        <f t="shared" ref="C24:C28" si="4">$B24/100*L$26+(100-$B24)/100*L$23</f>
        <v>132.55779221860891</v>
      </c>
      <c r="D24">
        <f t="shared" ref="D24:D28" si="5">$B24/100*M$26+(100-$B24)/100*M$23</f>
        <v>3.3142570208127986</v>
      </c>
      <c r="E24">
        <f t="shared" ref="E24:E28" si="6">$B24/100*N$26+(100-$B24)/100*N$23</f>
        <v>3.6886374231717336</v>
      </c>
      <c r="F24">
        <f t="shared" ref="F24:F28" si="7">$B24/100*O$26+(100-$B24)/100*O$23</f>
        <v>7.9264535217703358</v>
      </c>
      <c r="L24" t="s">
        <v>171</v>
      </c>
    </row>
    <row r="25" spans="1:15" x14ac:dyDescent="0.3">
      <c r="A25">
        <v>45</v>
      </c>
      <c r="B25">
        <v>3.1852683528233743</v>
      </c>
      <c r="C25">
        <f t="shared" si="4"/>
        <v>20.177739889248304</v>
      </c>
      <c r="D25">
        <f t="shared" si="5"/>
        <v>0.95923209994096315</v>
      </c>
      <c r="E25">
        <f t="shared" si="6"/>
        <v>4.0995335583458656</v>
      </c>
      <c r="F25">
        <f t="shared" si="7"/>
        <v>1.1112644818204653</v>
      </c>
      <c r="L25" t="s">
        <v>164</v>
      </c>
      <c r="M25" t="s">
        <v>166</v>
      </c>
      <c r="N25" t="s">
        <v>167</v>
      </c>
      <c r="O25" t="s">
        <v>170</v>
      </c>
    </row>
    <row r="26" spans="1:15" x14ac:dyDescent="0.3">
      <c r="A26">
        <v>14</v>
      </c>
      <c r="B26">
        <v>10.005548266730749</v>
      </c>
      <c r="C26">
        <f t="shared" si="4"/>
        <v>52.922941680682911</v>
      </c>
      <c r="D26">
        <f t="shared" si="5"/>
        <v>1.6454372107180664</v>
      </c>
      <c r="E26">
        <f t="shared" si="6"/>
        <v>3.9798070002716233</v>
      </c>
      <c r="F26">
        <f t="shared" si="7"/>
        <v>3.0970683298724881</v>
      </c>
      <c r="L26">
        <v>485</v>
      </c>
      <c r="M26">
        <v>10.7</v>
      </c>
      <c r="N26">
        <v>2.4</v>
      </c>
      <c r="O26">
        <v>29.3</v>
      </c>
    </row>
    <row r="27" spans="1:15" x14ac:dyDescent="0.3">
      <c r="A27">
        <v>23</v>
      </c>
      <c r="B27">
        <v>3.377888822565541</v>
      </c>
      <c r="C27">
        <f t="shared" si="4"/>
        <v>21.102540077874966</v>
      </c>
      <c r="D27">
        <f t="shared" si="5"/>
        <v>0.97861211842199891</v>
      </c>
      <c r="E27">
        <f t="shared" si="6"/>
        <v>4.0961522035997291</v>
      </c>
      <c r="F27">
        <f t="shared" si="7"/>
        <v>1.1673481726448853</v>
      </c>
    </row>
    <row r="28" spans="1:15" x14ac:dyDescent="0.3">
      <c r="A28">
        <v>68</v>
      </c>
      <c r="B28">
        <v>4.2572799355700406</v>
      </c>
      <c r="C28">
        <f t="shared" si="4"/>
        <v>25.324630639027514</v>
      </c>
      <c r="D28">
        <f t="shared" si="5"/>
        <v>1.0670898178321302</v>
      </c>
      <c r="E28">
        <f t="shared" si="6"/>
        <v>4.0807149381956487</v>
      </c>
      <c r="F28">
        <f t="shared" si="7"/>
        <v>1.4233931265457032</v>
      </c>
    </row>
    <row r="30" spans="1:15" x14ac:dyDescent="0.3">
      <c r="A30" t="s">
        <v>172</v>
      </c>
      <c r="B30" t="s">
        <v>174</v>
      </c>
      <c r="F30" t="s">
        <v>173</v>
      </c>
      <c r="J30" t="s">
        <v>175</v>
      </c>
    </row>
    <row r="31" spans="1:15" x14ac:dyDescent="0.3">
      <c r="A31" t="s">
        <v>0</v>
      </c>
      <c r="B31" t="s">
        <v>164</v>
      </c>
      <c r="C31" t="s">
        <v>166</v>
      </c>
      <c r="D31" t="s">
        <v>167</v>
      </c>
      <c r="E31" t="s">
        <v>170</v>
      </c>
      <c r="F31" t="s">
        <v>164</v>
      </c>
      <c r="G31" t="s">
        <v>166</v>
      </c>
      <c r="H31" t="s">
        <v>167</v>
      </c>
      <c r="I31" t="s">
        <v>170</v>
      </c>
      <c r="J31" t="s">
        <v>164</v>
      </c>
      <c r="K31" t="s">
        <v>166</v>
      </c>
      <c r="L31" t="s">
        <v>167</v>
      </c>
      <c r="M31" t="s">
        <v>170</v>
      </c>
    </row>
    <row r="32" spans="1:15" x14ac:dyDescent="0.3">
      <c r="A32">
        <v>58</v>
      </c>
      <c r="B32">
        <v>90.344539362032705</v>
      </c>
      <c r="C32">
        <v>21.03398373172314</v>
      </c>
      <c r="D32">
        <v>6.9991808858953402</v>
      </c>
      <c r="E32">
        <v>14.956757814614486</v>
      </c>
      <c r="F32">
        <v>160.59799551490366</v>
      </c>
      <c r="G32">
        <v>3.9018646627415627</v>
      </c>
      <c r="H32">
        <v>3.5861137908621741</v>
      </c>
      <c r="I32">
        <v>9.6269268906810854</v>
      </c>
      <c r="J32">
        <f>B32-F32</f>
        <v>-70.253456152870953</v>
      </c>
      <c r="K32">
        <f t="shared" ref="K32:M32" si="8">C32-G32</f>
        <v>17.132119068981577</v>
      </c>
      <c r="L32">
        <f t="shared" si="8"/>
        <v>3.4130670950331661</v>
      </c>
      <c r="M32">
        <f t="shared" si="8"/>
        <v>5.3298309239334003</v>
      </c>
    </row>
    <row r="33" spans="1:13" x14ac:dyDescent="0.3">
      <c r="A33">
        <v>67</v>
      </c>
      <c r="B33">
        <v>80.949055249274366</v>
      </c>
      <c r="C33">
        <v>14.646439443085981</v>
      </c>
      <c r="D33">
        <v>6.3382190643481495</v>
      </c>
      <c r="E33">
        <v>8.895148630698829</v>
      </c>
      <c r="F33">
        <v>132.55779221860891</v>
      </c>
      <c r="G33">
        <v>3.3142570208127986</v>
      </c>
      <c r="H33">
        <v>3.6886374231717336</v>
      </c>
      <c r="I33">
        <v>7.9264535217703358</v>
      </c>
      <c r="J33">
        <f t="shared" ref="J33:J37" si="9">B33-F33</f>
        <v>-51.608736969334544</v>
      </c>
      <c r="K33">
        <f t="shared" ref="K33:K37" si="10">C33-G33</f>
        <v>11.332182422273183</v>
      </c>
      <c r="L33">
        <f t="shared" ref="L33:L37" si="11">D33-H33</f>
        <v>2.6495816411764159</v>
      </c>
      <c r="M33">
        <f t="shared" ref="M33:M37" si="12">E33-I33</f>
        <v>0.9686951089284932</v>
      </c>
    </row>
    <row r="34" spans="1:13" x14ac:dyDescent="0.3">
      <c r="A34">
        <v>45</v>
      </c>
      <c r="B34">
        <v>11.309379024616515</v>
      </c>
      <c r="C34">
        <v>2.6623084984280649</v>
      </c>
      <c r="D34">
        <v>3.1991011050337659</v>
      </c>
      <c r="E34">
        <v>0.5207071148697322</v>
      </c>
      <c r="F34">
        <v>20.177739889248304</v>
      </c>
      <c r="G34">
        <v>0.95923209994096315</v>
      </c>
      <c r="H34">
        <v>4.0995335583458656</v>
      </c>
      <c r="I34">
        <v>1.1112644818204653</v>
      </c>
      <c r="J34">
        <f t="shared" si="9"/>
        <v>-8.8683608646317893</v>
      </c>
      <c r="K34">
        <f t="shared" si="10"/>
        <v>1.7030763984871018</v>
      </c>
      <c r="L34">
        <f t="shared" si="11"/>
        <v>-0.90043245331209976</v>
      </c>
      <c r="M34">
        <f t="shared" si="12"/>
        <v>-0.59055736695073313</v>
      </c>
    </row>
    <row r="35" spans="1:13" x14ac:dyDescent="0.3">
      <c r="A35">
        <v>14</v>
      </c>
      <c r="B35">
        <v>46.281458777661435</v>
      </c>
      <c r="C35">
        <v>6.7618144617994904</v>
      </c>
      <c r="D35">
        <v>6.7980898481967529</v>
      </c>
      <c r="E35">
        <v>2.5219750248793509</v>
      </c>
      <c r="F35">
        <v>52.922941680682911</v>
      </c>
      <c r="G35">
        <v>1.6454372107180664</v>
      </c>
      <c r="H35">
        <v>3.9798070002716233</v>
      </c>
      <c r="I35">
        <v>3.0970683298724881</v>
      </c>
      <c r="J35">
        <f t="shared" si="9"/>
        <v>-6.6414829030214761</v>
      </c>
      <c r="K35">
        <f t="shared" si="10"/>
        <v>5.116377251081424</v>
      </c>
      <c r="L35">
        <f t="shared" si="11"/>
        <v>2.8182828479251296</v>
      </c>
      <c r="M35">
        <f t="shared" si="12"/>
        <v>-0.57509330499313727</v>
      </c>
    </row>
    <row r="36" spans="1:13" x14ac:dyDescent="0.3">
      <c r="A36">
        <v>23</v>
      </c>
      <c r="B36">
        <v>12.118434600992929</v>
      </c>
      <c r="C36">
        <v>3.3684315584610007</v>
      </c>
      <c r="D36">
        <v>3.3990449240983764</v>
      </c>
      <c r="E36">
        <v>1.4689747209140613</v>
      </c>
      <c r="F36">
        <v>21.102540077874966</v>
      </c>
      <c r="G36">
        <v>0.97861211842199891</v>
      </c>
      <c r="H36">
        <v>4.0961522035997291</v>
      </c>
      <c r="I36">
        <v>1.1673481726448853</v>
      </c>
      <c r="J36">
        <f t="shared" si="9"/>
        <v>-8.9841054768820374</v>
      </c>
      <c r="K36">
        <f t="shared" si="10"/>
        <v>2.3898194400390018</v>
      </c>
      <c r="L36">
        <f t="shared" si="11"/>
        <v>-0.69710727950135265</v>
      </c>
      <c r="M36">
        <f t="shared" si="12"/>
        <v>0.30162654826917601</v>
      </c>
    </row>
    <row r="37" spans="1:13" x14ac:dyDescent="0.3">
      <c r="A37">
        <v>68</v>
      </c>
      <c r="B37">
        <v>12.440316927078166</v>
      </c>
      <c r="C37">
        <v>5.8386147013324017</v>
      </c>
      <c r="D37">
        <v>3.8989044717599026</v>
      </c>
      <c r="E37">
        <v>0.48864502267247945</v>
      </c>
      <c r="F37">
        <v>25.324630639027514</v>
      </c>
      <c r="G37">
        <v>1.0670898178321302</v>
      </c>
      <c r="H37">
        <v>4.0807149381956487</v>
      </c>
      <c r="I37">
        <v>1.4233931265457032</v>
      </c>
      <c r="J37">
        <f t="shared" si="9"/>
        <v>-12.884313711949348</v>
      </c>
      <c r="K37">
        <f t="shared" si="10"/>
        <v>4.7715248835002715</v>
      </c>
      <c r="L37">
        <f t="shared" si="11"/>
        <v>-0.18181046643574605</v>
      </c>
      <c r="M37">
        <f t="shared" si="12"/>
        <v>-0.93474810387322371</v>
      </c>
    </row>
    <row r="39" spans="1:13" x14ac:dyDescent="0.3">
      <c r="A39" t="s">
        <v>176</v>
      </c>
    </row>
    <row r="40" spans="1:13" x14ac:dyDescent="0.3">
      <c r="A40" t="s">
        <v>0</v>
      </c>
      <c r="B40" t="s">
        <v>164</v>
      </c>
      <c r="C40" t="s">
        <v>159</v>
      </c>
    </row>
    <row r="41" spans="1:13" x14ac:dyDescent="0.3">
      <c r="A41">
        <v>58</v>
      </c>
      <c r="B41">
        <v>90.344539362032705</v>
      </c>
      <c r="C41">
        <v>185.40477876156118</v>
      </c>
    </row>
    <row r="42" spans="1:13" x14ac:dyDescent="0.3">
      <c r="A42">
        <v>67</v>
      </c>
      <c r="B42">
        <v>80.949055249274366</v>
      </c>
      <c r="C42">
        <v>152.5074253865009</v>
      </c>
    </row>
    <row r="43" spans="1:13" x14ac:dyDescent="0.3">
      <c r="A43">
        <v>45</v>
      </c>
      <c r="B43">
        <v>11.309379024616515</v>
      </c>
      <c r="C43">
        <v>20.660795933737063</v>
      </c>
    </row>
    <row r="44" spans="1:13" x14ac:dyDescent="0.3">
      <c r="A44">
        <v>14</v>
      </c>
      <c r="B44">
        <v>46.281458777661435</v>
      </c>
      <c r="C44">
        <v>59.078152016630611</v>
      </c>
    </row>
    <row r="45" spans="1:13" x14ac:dyDescent="0.3">
      <c r="A45">
        <v>23</v>
      </c>
      <c r="B45">
        <v>12.118434600992929</v>
      </c>
      <c r="C45">
        <v>21.745790870653011</v>
      </c>
    </row>
    <row r="46" spans="1:13" x14ac:dyDescent="0.3">
      <c r="A46">
        <v>68</v>
      </c>
      <c r="B46">
        <v>12.440316927078166</v>
      </c>
      <c r="C46">
        <v>26.699235883303672</v>
      </c>
    </row>
    <row r="48" spans="1:13" x14ac:dyDescent="0.3">
      <c r="B48">
        <v>0</v>
      </c>
      <c r="C48">
        <v>0</v>
      </c>
    </row>
    <row r="49" spans="1:4" x14ac:dyDescent="0.3">
      <c r="B49">
        <v>485</v>
      </c>
      <c r="C49">
        <v>566</v>
      </c>
    </row>
    <row r="56" spans="1:4" x14ac:dyDescent="0.3">
      <c r="A56" t="s">
        <v>177</v>
      </c>
    </row>
    <row r="57" spans="1:4" x14ac:dyDescent="0.3">
      <c r="A57" t="s">
        <v>0</v>
      </c>
      <c r="B57" t="s">
        <v>165</v>
      </c>
      <c r="C57" t="s">
        <v>168</v>
      </c>
      <c r="D57" t="s">
        <v>159</v>
      </c>
    </row>
    <row r="58" spans="1:4" x14ac:dyDescent="0.3">
      <c r="A58">
        <v>58</v>
      </c>
      <c r="B58">
        <v>48.728269015233863</v>
      </c>
      <c r="C58">
        <v>300.52064769622621</v>
      </c>
      <c r="D58">
        <v>185.40477876156118</v>
      </c>
    </row>
    <row r="59" spans="1:4" x14ac:dyDescent="0.3">
      <c r="A59">
        <v>67</v>
      </c>
      <c r="B59">
        <v>53.078763243248304</v>
      </c>
      <c r="C59">
        <v>231.08130682119753</v>
      </c>
      <c r="D59">
        <v>152.5074253865009</v>
      </c>
    </row>
    <row r="60" spans="1:4" x14ac:dyDescent="0.3">
      <c r="A60">
        <v>45</v>
      </c>
      <c r="B60">
        <v>54.738351130749052</v>
      </c>
      <c r="C60">
        <v>83.220517608491306</v>
      </c>
      <c r="D60">
        <v>20.660795933737063</v>
      </c>
    </row>
    <row r="61" spans="1:4" x14ac:dyDescent="0.3">
      <c r="A61">
        <v>14</v>
      </c>
      <c r="B61">
        <v>78.33938130737927</v>
      </c>
      <c r="C61">
        <v>99.466388541379985</v>
      </c>
      <c r="D61">
        <v>59.078152016630611</v>
      </c>
    </row>
    <row r="62" spans="1:4" x14ac:dyDescent="0.3">
      <c r="A62">
        <v>23</v>
      </c>
      <c r="B62">
        <v>55.727725301301135</v>
      </c>
      <c r="C62">
        <v>99.099353897315851</v>
      </c>
      <c r="D62">
        <v>21.745790870653011</v>
      </c>
    </row>
    <row r="63" spans="1:4" x14ac:dyDescent="0.3">
      <c r="A63">
        <v>68</v>
      </c>
      <c r="B63">
        <v>46.594280755644021</v>
      </c>
      <c r="C63">
        <v>149.75013477816617</v>
      </c>
      <c r="D63">
        <v>26.699235883303672</v>
      </c>
    </row>
    <row r="75" spans="1:2" x14ac:dyDescent="0.3">
      <c r="A75" t="s">
        <v>178</v>
      </c>
      <c r="B75" t="s">
        <v>179</v>
      </c>
    </row>
    <row r="76" spans="1:2" x14ac:dyDescent="0.3">
      <c r="B76" t="s">
        <v>180</v>
      </c>
    </row>
    <row r="77" spans="1:2" x14ac:dyDescent="0.3">
      <c r="B77" t="s">
        <v>181</v>
      </c>
    </row>
    <row r="78" spans="1:2" x14ac:dyDescent="0.3">
      <c r="B78" t="s">
        <v>182</v>
      </c>
    </row>
    <row r="79" spans="1:2" x14ac:dyDescent="0.3">
      <c r="B79" t="s">
        <v>183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source</vt:lpstr>
      <vt:lpstr>Folha</vt:lpstr>
      <vt:lpstr>Unit conversion</vt:lpstr>
      <vt:lpstr>Visualisation</vt:lpstr>
      <vt:lpstr>Recharge</vt:lpstr>
      <vt:lpstr>Mineral</vt:lpstr>
      <vt:lpstr>Reduction</vt:lpstr>
      <vt:lpstr>Cation exchange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2020-03-28T20:15:04Z</dcterms:modified>
</cp:coreProperties>
</file>